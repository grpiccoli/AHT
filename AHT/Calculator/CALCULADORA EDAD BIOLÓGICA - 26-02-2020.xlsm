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D:\AHT\"/>
    </mc:Choice>
  </mc:AlternateContent>
  <xr:revisionPtr revIDLastSave="0" documentId="13_ncr:1_{33BD640D-D5BB-4629-A7D1-15C3BCBB2231}" xr6:coauthVersionLast="45" xr6:coauthVersionMax="45" xr10:uidLastSave="{00000000-0000-0000-0000-000000000000}"/>
  <bookViews>
    <workbookView xWindow="-108" yWindow="-108" windowWidth="23256" windowHeight="12576" firstSheet="1" activeTab="4" xr2:uid="{00000000-000D-0000-FFFF-FFFF00000000}"/>
  </bookViews>
  <sheets>
    <sheet name="PASOS" sheetId="16" r:id="rId1"/>
    <sheet name="1)qPCR" sheetId="2" r:id="rId2"/>
    <sheet name="2)GRID" sheetId="10" r:id="rId3"/>
    <sheet name="3)PACIENTES" sheetId="17" r:id="rId4"/>
    <sheet name="GRAPHS" sheetId="18" r:id="rId5"/>
    <sheet name="TEXTS" sheetId="14" r:id="rId6"/>
    <sheet name="SAMPLES" sheetId="6" state="hidden" r:id="rId7"/>
    <sheet name="RANGES" sheetId="15" state="hidden" r:id="rId8"/>
    <sheet name="SELECTOR" sheetId="13" state="hidden" r:id="rId9"/>
    <sheet name="HIDDEN" sheetId="12" state="hidden" r:id="rId10"/>
    <sheet name="__OpenSolverCache__" sheetId="3" state="hidden" r:id="rId11"/>
    <sheet name="__OpenSolver__" sheetId="4" state="hidden" r:id="rId12"/>
  </sheets>
  <functionGroups builtInGroupCount="19"/>
  <definedNames>
    <definedName name="solver_adj" localSheetId="6" hidden="1">SAMPLES!$I$3</definedName>
    <definedName name="solver_cvg" localSheetId="6" hidden="1">0.0001</definedName>
    <definedName name="solver_drv" localSheetId="6" hidden="1">2</definedName>
    <definedName name="solver_eng" localSheetId="6" hidden="1">3</definedName>
    <definedName name="solver_est" localSheetId="6" hidden="1">1</definedName>
    <definedName name="solver_itr" localSheetId="6" hidden="1">2147483647</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0</definedName>
    <definedName name="solver_nwt" localSheetId="6" hidden="1">1</definedName>
    <definedName name="solver_opt" localSheetId="6" hidden="1">SAMPLES!$AT$3</definedName>
    <definedName name="solver_pre" localSheetId="6" hidden="1">0.000001</definedName>
    <definedName name="solver_rbv" localSheetId="6" hidden="1">2</definedName>
    <definedName name="solver_rlx" localSheetId="6" hidden="1">2</definedName>
    <definedName name="solver_rsd" localSheetId="6" hidden="1">0</definedName>
    <definedName name="solver_scl" localSheetId="6" hidden="1">2</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3</definedName>
    <definedName name="solver_val" localSheetId="6" hidden="1">0</definedName>
    <definedName name="solver_ver" localSheetId="6"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 i="6" l="1"/>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3" i="6"/>
  <c r="A98" i="6"/>
  <c r="B98" i="6" s="1"/>
  <c r="A99" i="6"/>
  <c r="B99" i="6" s="1"/>
  <c r="C94" i="17"/>
  <c r="C68" i="17"/>
  <c r="C71" i="17"/>
  <c r="C33" i="17"/>
  <c r="C16" i="17"/>
  <c r="C78" i="17"/>
  <c r="C13" i="17"/>
  <c r="C82" i="17"/>
  <c r="C99" i="17"/>
  <c r="C3" i="17"/>
  <c r="C24" i="17"/>
  <c r="C23" i="17"/>
  <c r="C63" i="17"/>
  <c r="C56" i="17"/>
  <c r="C19" i="17"/>
  <c r="C73" i="17"/>
  <c r="C62" i="17"/>
  <c r="C54" i="17"/>
  <c r="C6" i="17"/>
  <c r="C80" i="17"/>
  <c r="C74" i="17"/>
  <c r="C52" i="17"/>
  <c r="C65" i="17"/>
  <c r="C83" i="17"/>
  <c r="C69" i="17"/>
  <c r="C50" i="17"/>
  <c r="C34" i="17"/>
  <c r="C85" i="17"/>
  <c r="C46" i="17"/>
  <c r="C84" i="17"/>
  <c r="C4" i="17"/>
  <c r="C92" i="17"/>
  <c r="C43" i="17"/>
  <c r="C27" i="17"/>
  <c r="C64" i="17"/>
  <c r="C21" i="17"/>
  <c r="C67" i="17"/>
  <c r="C70" i="17"/>
  <c r="C12" i="17"/>
  <c r="C2" i="17"/>
  <c r="C91" i="17"/>
  <c r="C22" i="17"/>
  <c r="C41" i="17"/>
  <c r="C31" i="17"/>
  <c r="C57" i="17"/>
  <c r="C42" i="17"/>
  <c r="C59" i="17"/>
  <c r="C17" i="17"/>
  <c r="C97" i="17"/>
  <c r="C40" i="17"/>
  <c r="C36" i="17"/>
  <c r="C26" i="17"/>
  <c r="C55" i="17"/>
  <c r="C39" i="17"/>
  <c r="C20" i="17"/>
  <c r="C76" i="17"/>
  <c r="C7" i="17"/>
  <c r="C90" i="17"/>
  <c r="C93" i="17"/>
  <c r="C87" i="17"/>
  <c r="C35" i="17"/>
  <c r="C61" i="17"/>
  <c r="C29" i="17"/>
  <c r="C5" i="17"/>
  <c r="C11" i="17"/>
  <c r="C98" i="17"/>
  <c r="C48" i="17"/>
  <c r="C77" i="17"/>
  <c r="C72" i="17"/>
  <c r="C15" i="17"/>
  <c r="C96" i="17"/>
  <c r="C30" i="17"/>
  <c r="C53" i="17"/>
  <c r="C25" i="17"/>
  <c r="C95" i="17"/>
  <c r="C49" i="17"/>
  <c r="C58" i="17"/>
  <c r="C14" i="17"/>
  <c r="C86" i="17"/>
  <c r="C100" i="17"/>
  <c r="C81" i="17"/>
  <c r="C89" i="17"/>
  <c r="C79" i="17"/>
  <c r="C8" i="17"/>
  <c r="C66" i="17"/>
  <c r="C28" i="17"/>
  <c r="C75" i="17"/>
  <c r="C44" i="17"/>
  <c r="C37" i="17"/>
  <c r="C47" i="17"/>
  <c r="C51" i="17"/>
  <c r="C10" i="17"/>
  <c r="C9" i="17"/>
  <c r="C45" i="17"/>
  <c r="C18" i="17"/>
  <c r="C88" i="17"/>
  <c r="C32" i="17"/>
  <c r="C38" i="17"/>
  <c r="C60" i="17"/>
  <c r="D99" i="6" l="1"/>
  <c r="E99" i="6"/>
  <c r="C98" i="6"/>
  <c r="E98" i="6"/>
  <c r="G98" i="6"/>
  <c r="G99" i="6"/>
  <c r="C99" i="6"/>
  <c r="D98" i="6"/>
  <c r="G2" i="12"/>
  <c r="G3" i="12"/>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1" i="12"/>
  <c r="E2" i="12"/>
  <c r="A2" i="12" s="1"/>
  <c r="E3" i="12"/>
  <c r="F3" i="12" s="1"/>
  <c r="B3" i="12" s="1"/>
  <c r="E4" i="12"/>
  <c r="F4" i="12" s="1"/>
  <c r="B4" i="12" s="1"/>
  <c r="E5" i="12"/>
  <c r="A5" i="12" s="1"/>
  <c r="E6" i="12"/>
  <c r="A6" i="12" s="1"/>
  <c r="E7" i="12"/>
  <c r="F7" i="12" s="1"/>
  <c r="E8" i="12"/>
  <c r="F8" i="12" s="1"/>
  <c r="E9" i="12"/>
  <c r="F9" i="12" s="1"/>
  <c r="B9" i="12" s="1"/>
  <c r="E10" i="12"/>
  <c r="F10" i="12" s="1"/>
  <c r="B10" i="12" s="1"/>
  <c r="E11" i="12"/>
  <c r="A11" i="12" s="1"/>
  <c r="E12" i="12"/>
  <c r="A12" i="12" s="1"/>
  <c r="E13" i="12"/>
  <c r="A13" i="12" s="1"/>
  <c r="E14" i="12"/>
  <c r="F14" i="12" s="1"/>
  <c r="E15" i="12"/>
  <c r="F15" i="12" s="1"/>
  <c r="E16" i="12"/>
  <c r="F16" i="12" s="1"/>
  <c r="E17" i="12"/>
  <c r="F17" i="12" s="1"/>
  <c r="B17" i="12" s="1"/>
  <c r="E18" i="12"/>
  <c r="F18" i="12" s="1"/>
  <c r="B18" i="12" s="1"/>
  <c r="E19" i="12"/>
  <c r="A19" i="12" s="1"/>
  <c r="E20" i="12"/>
  <c r="A20" i="12" s="1"/>
  <c r="E21" i="12"/>
  <c r="A21" i="12" s="1"/>
  <c r="E22" i="12"/>
  <c r="A22" i="12" s="1"/>
  <c r="E23" i="12"/>
  <c r="F23" i="12" s="1"/>
  <c r="E24" i="12"/>
  <c r="F24" i="12" s="1"/>
  <c r="E25" i="12"/>
  <c r="F25" i="12" s="1"/>
  <c r="B25" i="12" s="1"/>
  <c r="E26" i="12"/>
  <c r="F26" i="12" s="1"/>
  <c r="B26" i="12" s="1"/>
  <c r="E27" i="12"/>
  <c r="A27" i="12" s="1"/>
  <c r="E28" i="12"/>
  <c r="A28" i="12" s="1"/>
  <c r="E29" i="12"/>
  <c r="A29" i="12" s="1"/>
  <c r="E30" i="12"/>
  <c r="F30" i="12" s="1"/>
  <c r="E31" i="12"/>
  <c r="F31" i="12" s="1"/>
  <c r="E32" i="12"/>
  <c r="A32" i="12" s="1"/>
  <c r="E33" i="12"/>
  <c r="F33" i="12" s="1"/>
  <c r="B33" i="12" s="1"/>
  <c r="E34" i="12"/>
  <c r="F34" i="12" s="1"/>
  <c r="B34" i="12" s="1"/>
  <c r="E35" i="12"/>
  <c r="A35" i="12" s="1"/>
  <c r="E36" i="12"/>
  <c r="A36" i="12" s="1"/>
  <c r="E37" i="12"/>
  <c r="A37" i="12" s="1"/>
  <c r="E38" i="12"/>
  <c r="F38" i="12" s="1"/>
  <c r="E39" i="12"/>
  <c r="A39" i="12" s="1"/>
  <c r="E40" i="12"/>
  <c r="F40" i="12" s="1"/>
  <c r="E41" i="12"/>
  <c r="F41" i="12" s="1"/>
  <c r="B41" i="12" s="1"/>
  <c r="E42" i="12"/>
  <c r="F42" i="12" s="1"/>
  <c r="B42" i="12" s="1"/>
  <c r="E43" i="12"/>
  <c r="A43" i="12" s="1"/>
  <c r="E44" i="12"/>
  <c r="A44" i="12" s="1"/>
  <c r="E45" i="12"/>
  <c r="A45" i="12" s="1"/>
  <c r="E46" i="12"/>
  <c r="A46" i="12" s="1"/>
  <c r="E47" i="12"/>
  <c r="F47" i="12" s="1"/>
  <c r="E48" i="12"/>
  <c r="F48" i="12" s="1"/>
  <c r="E49" i="12"/>
  <c r="F49" i="12" s="1"/>
  <c r="B49" i="12" s="1"/>
  <c r="E50" i="12"/>
  <c r="F50" i="12" s="1"/>
  <c r="B50" i="12" s="1"/>
  <c r="E51" i="12"/>
  <c r="A51" i="12" s="1"/>
  <c r="E52" i="12"/>
  <c r="A52" i="12" s="1"/>
  <c r="E53" i="12"/>
  <c r="A53" i="12" s="1"/>
  <c r="E54" i="12"/>
  <c r="A54" i="12" s="1"/>
  <c r="E55" i="12"/>
  <c r="F55" i="12" s="1"/>
  <c r="E56" i="12"/>
  <c r="F56" i="12" s="1"/>
  <c r="E57" i="12"/>
  <c r="F57" i="12" s="1"/>
  <c r="B57" i="12" s="1"/>
  <c r="E58" i="12"/>
  <c r="F58" i="12" s="1"/>
  <c r="B58" i="12" s="1"/>
  <c r="E59" i="12"/>
  <c r="A59" i="12" s="1"/>
  <c r="E60" i="12"/>
  <c r="A60" i="12" s="1"/>
  <c r="E61" i="12"/>
  <c r="A61" i="12" s="1"/>
  <c r="E62" i="12"/>
  <c r="F62" i="12" s="1"/>
  <c r="E63" i="12"/>
  <c r="F63" i="12" s="1"/>
  <c r="E64" i="12"/>
  <c r="A64" i="12" s="1"/>
  <c r="E65" i="12"/>
  <c r="F65" i="12" s="1"/>
  <c r="B65" i="12" s="1"/>
  <c r="E66" i="12"/>
  <c r="F66" i="12" s="1"/>
  <c r="B66" i="12" s="1"/>
  <c r="E67" i="12"/>
  <c r="A67" i="12" s="1"/>
  <c r="E68" i="12"/>
  <c r="A68" i="12" s="1"/>
  <c r="E69" i="12"/>
  <c r="A69" i="12" s="1"/>
  <c r="E70" i="12"/>
  <c r="F70" i="12" s="1"/>
  <c r="E71" i="12"/>
  <c r="A71" i="12" s="1"/>
  <c r="E72" i="12"/>
  <c r="A72" i="12" s="1"/>
  <c r="E73" i="12"/>
  <c r="F73" i="12" s="1"/>
  <c r="B73" i="12" s="1"/>
  <c r="E74" i="12"/>
  <c r="F74" i="12" s="1"/>
  <c r="B74" i="12" s="1"/>
  <c r="E75" i="12"/>
  <c r="A75" i="12" s="1"/>
  <c r="E76" i="12"/>
  <c r="A76" i="12" s="1"/>
  <c r="E77" i="12"/>
  <c r="A77" i="12" s="1"/>
  <c r="E78" i="12"/>
  <c r="A78" i="12" s="1"/>
  <c r="E79" i="12"/>
  <c r="F79" i="12" s="1"/>
  <c r="E80" i="12"/>
  <c r="F80" i="12" s="1"/>
  <c r="E81" i="12"/>
  <c r="F81" i="12" s="1"/>
  <c r="B81" i="12" s="1"/>
  <c r="E82" i="12"/>
  <c r="F82" i="12" s="1"/>
  <c r="B82" i="12" s="1"/>
  <c r="E83" i="12"/>
  <c r="A83" i="12" s="1"/>
  <c r="E84" i="12"/>
  <c r="A84" i="12" s="1"/>
  <c r="E85" i="12"/>
  <c r="A85" i="12" s="1"/>
  <c r="E86" i="12"/>
  <c r="F86" i="12" s="1"/>
  <c r="E87" i="12"/>
  <c r="F87" i="12" s="1"/>
  <c r="E88" i="12"/>
  <c r="F88" i="12" s="1"/>
  <c r="E89" i="12"/>
  <c r="F89" i="12" s="1"/>
  <c r="B89" i="12" s="1"/>
  <c r="E90" i="12"/>
  <c r="F90" i="12" s="1"/>
  <c r="B90" i="12" s="1"/>
  <c r="E91" i="12"/>
  <c r="A91" i="12" s="1"/>
  <c r="E92" i="12"/>
  <c r="A92" i="12" s="1"/>
  <c r="E93" i="12"/>
  <c r="A93" i="12" s="1"/>
  <c r="E94" i="12"/>
  <c r="A94" i="12" s="1"/>
  <c r="E95" i="12"/>
  <c r="F95" i="12" s="1"/>
  <c r="E96" i="12"/>
  <c r="F96" i="12" s="1"/>
  <c r="E1" i="12"/>
  <c r="A1" i="12" s="1"/>
  <c r="I3" i="15"/>
  <c r="J3" i="15"/>
  <c r="I2" i="15"/>
  <c r="H2" i="15"/>
  <c r="H3" i="15" s="1"/>
  <c r="G2" i="15"/>
  <c r="G3" i="15" s="1"/>
  <c r="F2" i="15"/>
  <c r="F3" i="15" s="1"/>
  <c r="A16" i="12" l="1"/>
  <c r="A24" i="12"/>
  <c r="A8" i="12"/>
  <c r="A96" i="12"/>
  <c r="A88" i="12"/>
  <c r="A80" i="12"/>
  <c r="A56" i="12"/>
  <c r="A48" i="12"/>
  <c r="A40" i="12"/>
  <c r="AM99" i="6"/>
  <c r="AP99" i="6"/>
  <c r="AJ99" i="6" s="1"/>
  <c r="AM98" i="6"/>
  <c r="AP98" i="6"/>
  <c r="AJ98" i="6" s="1"/>
  <c r="A89" i="12"/>
  <c r="A81" i="12"/>
  <c r="A73" i="12"/>
  <c r="A65" i="12"/>
  <c r="A57" i="12"/>
  <c r="A49" i="12"/>
  <c r="A41" i="12"/>
  <c r="A33" i="12"/>
  <c r="A25" i="12"/>
  <c r="A17" i="12"/>
  <c r="A9" i="12"/>
  <c r="A95" i="12"/>
  <c r="A87" i="12"/>
  <c r="A79" i="12"/>
  <c r="A63" i="12"/>
  <c r="A55" i="12"/>
  <c r="A47" i="12"/>
  <c r="A31" i="12"/>
  <c r="A23" i="12"/>
  <c r="A15" i="12"/>
  <c r="A7" i="12"/>
  <c r="A86" i="12"/>
  <c r="A70" i="12"/>
  <c r="A62" i="12"/>
  <c r="A38" i="12"/>
  <c r="A30" i="12"/>
  <c r="A14" i="12"/>
  <c r="A4" i="12"/>
  <c r="A3" i="12"/>
  <c r="A90" i="12"/>
  <c r="A82" i="12"/>
  <c r="A74" i="12"/>
  <c r="A66" i="12"/>
  <c r="A58" i="12"/>
  <c r="A50" i="12"/>
  <c r="A42" i="12"/>
  <c r="A34" i="12"/>
  <c r="A26" i="12"/>
  <c r="A18" i="12"/>
  <c r="A10" i="12"/>
  <c r="F72" i="12"/>
  <c r="B72" i="12" s="1"/>
  <c r="F32" i="12"/>
  <c r="B32" i="12" s="1"/>
  <c r="F71" i="12"/>
  <c r="B71" i="12" s="1"/>
  <c r="F39" i="12"/>
  <c r="B39" i="12" s="1"/>
  <c r="F94" i="12"/>
  <c r="B94" i="12" s="1"/>
  <c r="F54" i="12"/>
  <c r="B54" i="12" s="1"/>
  <c r="F22" i="12"/>
  <c r="B22" i="12" s="1"/>
  <c r="B96" i="12"/>
  <c r="B80" i="12"/>
  <c r="B56" i="12"/>
  <c r="B48" i="12"/>
  <c r="B40" i="12"/>
  <c r="B24" i="12"/>
  <c r="B16" i="12"/>
  <c r="B8" i="12"/>
  <c r="F93" i="12"/>
  <c r="B93" i="12" s="1"/>
  <c r="F85" i="12"/>
  <c r="B85" i="12" s="1"/>
  <c r="F77" i="12"/>
  <c r="B77" i="12" s="1"/>
  <c r="F69" i="12"/>
  <c r="B69" i="12" s="1"/>
  <c r="F61" i="12"/>
  <c r="B61" i="12" s="1"/>
  <c r="F53" i="12"/>
  <c r="B53" i="12" s="1"/>
  <c r="F45" i="12"/>
  <c r="B45" i="12" s="1"/>
  <c r="F37" i="12"/>
  <c r="B37" i="12" s="1"/>
  <c r="F29" i="12"/>
  <c r="B29" i="12" s="1"/>
  <c r="F21" i="12"/>
  <c r="B21" i="12" s="1"/>
  <c r="F13" i="12"/>
  <c r="B13" i="12" s="1"/>
  <c r="F5" i="12"/>
  <c r="B5" i="12" s="1"/>
  <c r="B95" i="12"/>
  <c r="B87" i="12"/>
  <c r="B79" i="12"/>
  <c r="B63" i="12"/>
  <c r="B55" i="12"/>
  <c r="B47" i="12"/>
  <c r="B31" i="12"/>
  <c r="B23" i="12"/>
  <c r="B15" i="12"/>
  <c r="B7" i="12"/>
  <c r="F64" i="12"/>
  <c r="B64" i="12" s="1"/>
  <c r="F78" i="12"/>
  <c r="B78" i="12" s="1"/>
  <c r="F46" i="12"/>
  <c r="B46" i="12" s="1"/>
  <c r="F6" i="12"/>
  <c r="B6" i="12" s="1"/>
  <c r="B88" i="12"/>
  <c r="F76" i="12"/>
  <c r="B76" i="12" s="1"/>
  <c r="F60" i="12"/>
  <c r="B60" i="12" s="1"/>
  <c r="F36" i="12"/>
  <c r="B36" i="12" s="1"/>
  <c r="F12" i="12"/>
  <c r="B12" i="12" s="1"/>
  <c r="B86" i="12"/>
  <c r="B70" i="12"/>
  <c r="B62" i="12"/>
  <c r="B38" i="12"/>
  <c r="B30" i="12"/>
  <c r="B14" i="12"/>
  <c r="F92" i="12"/>
  <c r="B92" i="12" s="1"/>
  <c r="F52" i="12"/>
  <c r="B52" i="12" s="1"/>
  <c r="F91" i="12"/>
  <c r="B91" i="12" s="1"/>
  <c r="F83" i="12"/>
  <c r="B83" i="12" s="1"/>
  <c r="F75" i="12"/>
  <c r="B75" i="12" s="1"/>
  <c r="F67" i="12"/>
  <c r="B67" i="12" s="1"/>
  <c r="F59" i="12"/>
  <c r="B59" i="12" s="1"/>
  <c r="F51" i="12"/>
  <c r="B51" i="12" s="1"/>
  <c r="F43" i="12"/>
  <c r="B43" i="12" s="1"/>
  <c r="F35" i="12"/>
  <c r="B35" i="12" s="1"/>
  <c r="F27" i="12"/>
  <c r="B27" i="12" s="1"/>
  <c r="F19" i="12"/>
  <c r="B19" i="12" s="1"/>
  <c r="F11" i="12"/>
  <c r="B11" i="12" s="1"/>
  <c r="F84" i="12"/>
  <c r="B84" i="12" s="1"/>
  <c r="F68" i="12"/>
  <c r="B68" i="12" s="1"/>
  <c r="F44" i="12"/>
  <c r="B44" i="12" s="1"/>
  <c r="F28" i="12"/>
  <c r="B28" i="12" s="1"/>
  <c r="F20" i="12"/>
  <c r="B20" i="12" s="1"/>
  <c r="F2" i="12"/>
  <c r="B2" i="12" s="1"/>
  <c r="F1" i="12"/>
  <c r="B1" i="12" s="1"/>
  <c r="J8" i="15"/>
  <c r="L8" i="15" s="1"/>
  <c r="K9" i="15"/>
  <c r="M9" i="15" s="1"/>
  <c r="K10" i="15"/>
  <c r="M10" i="15" s="1"/>
  <c r="K11" i="15"/>
  <c r="M11" i="15" s="1"/>
  <c r="K12" i="15"/>
  <c r="M12" i="15" s="1"/>
  <c r="K8" i="15"/>
  <c r="M8" i="15" s="1"/>
  <c r="K13" i="15"/>
  <c r="M13" i="15" s="1"/>
  <c r="K14" i="15"/>
  <c r="M14" i="15" s="1"/>
  <c r="K15" i="15"/>
  <c r="M15" i="15" s="1"/>
  <c r="J9" i="15"/>
  <c r="L9" i="15" s="1"/>
  <c r="J10" i="15"/>
  <c r="L10" i="15" s="1"/>
  <c r="J11" i="15"/>
  <c r="L11" i="15" s="1"/>
  <c r="J12" i="15"/>
  <c r="L12" i="15" s="1"/>
  <c r="J13" i="15"/>
  <c r="L13" i="15" s="1"/>
  <c r="J14" i="15"/>
  <c r="L14" i="15" s="1"/>
  <c r="J15" i="15"/>
  <c r="L15" i="15" s="1"/>
  <c r="AS98" i="6" l="1"/>
  <c r="AR98" i="6"/>
  <c r="AQ98" i="6"/>
  <c r="AQ99" i="6"/>
  <c r="AS99" i="6"/>
  <c r="AR99" i="6"/>
  <c r="H2" i="12" a="1"/>
  <c r="H2" i="12" s="1"/>
  <c r="A3" i="6" l="1" a="1"/>
  <c r="A3" i="6" s="1"/>
  <c r="H3" i="12" a="1"/>
  <c r="H3" i="12" s="1"/>
  <c r="A4" i="6" s="1"/>
  <c r="I9" i="15"/>
  <c r="I10" i="15"/>
  <c r="I11" i="15"/>
  <c r="I12" i="15"/>
  <c r="I13" i="15"/>
  <c r="I14" i="15"/>
  <c r="I15" i="15"/>
  <c r="I8" i="15"/>
  <c r="H4" i="12" l="1" a="1"/>
  <c r="H4" i="12" s="1"/>
  <c r="A5" i="6" s="1"/>
  <c r="B5" i="6" s="1"/>
  <c r="E5" i="6" s="1"/>
  <c r="B4" i="6"/>
  <c r="G10" i="13"/>
  <c r="F10" i="13"/>
  <c r="E10" i="13"/>
  <c r="D10" i="13"/>
  <c r="G9" i="13"/>
  <c r="F9" i="13"/>
  <c r="E9" i="13"/>
  <c r="D9" i="13"/>
  <c r="G8" i="13"/>
  <c r="F8" i="13"/>
  <c r="E8" i="13"/>
  <c r="D8" i="13"/>
  <c r="G7" i="13"/>
  <c r="F7" i="13"/>
  <c r="E7" i="13"/>
  <c r="D7" i="13"/>
  <c r="G6" i="13"/>
  <c r="F6" i="13"/>
  <c r="E6" i="13"/>
  <c r="D6" i="13"/>
  <c r="G5" i="13"/>
  <c r="F5" i="13"/>
  <c r="E5" i="13"/>
  <c r="D5" i="13"/>
  <c r="G4" i="13"/>
  <c r="F4" i="13"/>
  <c r="E4" i="13"/>
  <c r="D4" i="13"/>
  <c r="G3" i="13"/>
  <c r="F3" i="13"/>
  <c r="E3" i="13"/>
  <c r="D3" i="13"/>
  <c r="H5" i="12" l="1" a="1"/>
  <c r="H5" i="12" s="1"/>
  <c r="A6" i="6" s="1"/>
  <c r="B6" i="6" s="1"/>
  <c r="E6" i="6" s="1"/>
  <c r="G4" i="6"/>
  <c r="AM4" i="6" s="1"/>
  <c r="E4" i="6"/>
  <c r="D4" i="6"/>
  <c r="C4" i="6"/>
  <c r="D5" i="6"/>
  <c r="G5" i="6"/>
  <c r="C5" i="6"/>
  <c r="J3" i="12"/>
  <c r="C2" i="12" s="1"/>
  <c r="K3" i="12"/>
  <c r="C10" i="12" s="1"/>
  <c r="L3" i="12"/>
  <c r="C18" i="12" s="1"/>
  <c r="M3" i="12"/>
  <c r="C26" i="12" s="1"/>
  <c r="N3" i="12"/>
  <c r="C34" i="12" s="1"/>
  <c r="O3" i="12"/>
  <c r="C42" i="12" s="1"/>
  <c r="P3" i="12"/>
  <c r="C50" i="12" s="1"/>
  <c r="Q3" i="12"/>
  <c r="C58" i="12" s="1"/>
  <c r="R3" i="12"/>
  <c r="C66" i="12" s="1"/>
  <c r="S3" i="12"/>
  <c r="C74" i="12" s="1"/>
  <c r="T3" i="12"/>
  <c r="C82" i="12" s="1"/>
  <c r="U3" i="12"/>
  <c r="C90" i="12" s="1"/>
  <c r="J4" i="12"/>
  <c r="C3" i="12" s="1"/>
  <c r="K4" i="12"/>
  <c r="C11" i="12" s="1"/>
  <c r="L4" i="12"/>
  <c r="C19" i="12" s="1"/>
  <c r="M4" i="12"/>
  <c r="C27" i="12" s="1"/>
  <c r="N4" i="12"/>
  <c r="C35" i="12" s="1"/>
  <c r="O4" i="12"/>
  <c r="C43" i="12" s="1"/>
  <c r="P4" i="12"/>
  <c r="C51" i="12" s="1"/>
  <c r="Q4" i="12"/>
  <c r="C59" i="12" s="1"/>
  <c r="R4" i="12"/>
  <c r="C67" i="12" s="1"/>
  <c r="S4" i="12"/>
  <c r="C75" i="12" s="1"/>
  <c r="T4" i="12"/>
  <c r="C83" i="12" s="1"/>
  <c r="U4" i="12"/>
  <c r="C91" i="12" s="1"/>
  <c r="J5" i="12"/>
  <c r="C4" i="12" s="1"/>
  <c r="K5" i="12"/>
  <c r="C12" i="12" s="1"/>
  <c r="L5" i="12"/>
  <c r="C20" i="12" s="1"/>
  <c r="M5" i="12"/>
  <c r="C28" i="12" s="1"/>
  <c r="N5" i="12"/>
  <c r="C36" i="12" s="1"/>
  <c r="O5" i="12"/>
  <c r="C44" i="12" s="1"/>
  <c r="P5" i="12"/>
  <c r="C52" i="12" s="1"/>
  <c r="Q5" i="12"/>
  <c r="C60" i="12" s="1"/>
  <c r="R5" i="12"/>
  <c r="C68" i="12" s="1"/>
  <c r="S5" i="12"/>
  <c r="C76" i="12" s="1"/>
  <c r="T5" i="12"/>
  <c r="C84" i="12" s="1"/>
  <c r="U5" i="12"/>
  <c r="C92" i="12" s="1"/>
  <c r="J6" i="12"/>
  <c r="C5" i="12" s="1"/>
  <c r="K6" i="12"/>
  <c r="C13" i="12" s="1"/>
  <c r="L6" i="12"/>
  <c r="C21" i="12" s="1"/>
  <c r="M6" i="12"/>
  <c r="C29" i="12" s="1"/>
  <c r="N6" i="12"/>
  <c r="C37" i="12" s="1"/>
  <c r="O6" i="12"/>
  <c r="C45" i="12" s="1"/>
  <c r="P6" i="12"/>
  <c r="C53" i="12" s="1"/>
  <c r="Q6" i="12"/>
  <c r="C61" i="12" s="1"/>
  <c r="R6" i="12"/>
  <c r="C69" i="12" s="1"/>
  <c r="S6" i="12"/>
  <c r="C77" i="12" s="1"/>
  <c r="T6" i="12"/>
  <c r="C85" i="12" s="1"/>
  <c r="U6" i="12"/>
  <c r="C93" i="12" s="1"/>
  <c r="J7" i="12"/>
  <c r="C6" i="12" s="1"/>
  <c r="K7" i="12"/>
  <c r="C14" i="12" s="1"/>
  <c r="L7" i="12"/>
  <c r="C22" i="12" s="1"/>
  <c r="M7" i="12"/>
  <c r="C30" i="12" s="1"/>
  <c r="N7" i="12"/>
  <c r="C38" i="12" s="1"/>
  <c r="O7" i="12"/>
  <c r="C46" i="12" s="1"/>
  <c r="P7" i="12"/>
  <c r="C54" i="12" s="1"/>
  <c r="Q7" i="12"/>
  <c r="C62" i="12" s="1"/>
  <c r="R7" i="12"/>
  <c r="C70" i="12" s="1"/>
  <c r="S7" i="12"/>
  <c r="C78" i="12" s="1"/>
  <c r="T7" i="12"/>
  <c r="C86" i="12" s="1"/>
  <c r="U7" i="12"/>
  <c r="C94" i="12" s="1"/>
  <c r="J8" i="12"/>
  <c r="C7" i="12" s="1"/>
  <c r="K8" i="12"/>
  <c r="C15" i="12" s="1"/>
  <c r="L8" i="12"/>
  <c r="C23" i="12" s="1"/>
  <c r="M8" i="12"/>
  <c r="C31" i="12" s="1"/>
  <c r="N8" i="12"/>
  <c r="C39" i="12" s="1"/>
  <c r="O8" i="12"/>
  <c r="C47" i="12" s="1"/>
  <c r="P8" i="12"/>
  <c r="C55" i="12" s="1"/>
  <c r="Q8" i="12"/>
  <c r="C63" i="12" s="1"/>
  <c r="R8" i="12"/>
  <c r="C71" i="12" s="1"/>
  <c r="S8" i="12"/>
  <c r="C79" i="12" s="1"/>
  <c r="T8" i="12"/>
  <c r="C87" i="12" s="1"/>
  <c r="U8" i="12"/>
  <c r="C95" i="12" s="1"/>
  <c r="J9" i="12"/>
  <c r="C8" i="12" s="1"/>
  <c r="K9" i="12"/>
  <c r="C16" i="12" s="1"/>
  <c r="L9" i="12"/>
  <c r="C24" i="12" s="1"/>
  <c r="M9" i="12"/>
  <c r="C32" i="12" s="1"/>
  <c r="N9" i="12"/>
  <c r="C40" i="12" s="1"/>
  <c r="O9" i="12"/>
  <c r="C48" i="12" s="1"/>
  <c r="P9" i="12"/>
  <c r="C56" i="12" s="1"/>
  <c r="Q9" i="12"/>
  <c r="C64" i="12" s="1"/>
  <c r="R9" i="12"/>
  <c r="C72" i="12" s="1"/>
  <c r="S9" i="12"/>
  <c r="C80" i="12" s="1"/>
  <c r="T9" i="12"/>
  <c r="C88" i="12" s="1"/>
  <c r="U9" i="12"/>
  <c r="C96" i="12" s="1"/>
  <c r="K2" i="12"/>
  <c r="C9" i="12" s="1"/>
  <c r="L2" i="12"/>
  <c r="C17" i="12" s="1"/>
  <c r="M2" i="12"/>
  <c r="C25" i="12" s="1"/>
  <c r="N2" i="12"/>
  <c r="C33" i="12" s="1"/>
  <c r="O2" i="12"/>
  <c r="C41" i="12" s="1"/>
  <c r="P2" i="12"/>
  <c r="C49" i="12" s="1"/>
  <c r="Q2" i="12"/>
  <c r="C57" i="12" s="1"/>
  <c r="R2" i="12"/>
  <c r="C65" i="12" s="1"/>
  <c r="S2" i="12"/>
  <c r="C73" i="12" s="1"/>
  <c r="T2" i="12"/>
  <c r="C81" i="12" s="1"/>
  <c r="U2" i="12"/>
  <c r="C89" i="12" s="1"/>
  <c r="J2" i="12"/>
  <c r="C1" i="12" s="1"/>
  <c r="AP4" i="6" l="1"/>
  <c r="AJ4" i="6" s="1"/>
  <c r="H6" i="12" a="1"/>
  <c r="H6" i="12" s="1"/>
  <c r="A7" i="6" s="1"/>
  <c r="B7" i="6" s="1"/>
  <c r="E7" i="6" s="1"/>
  <c r="AM5" i="6"/>
  <c r="AP5" i="6"/>
  <c r="AJ5" i="6" s="1"/>
  <c r="C6" i="6"/>
  <c r="D6" i="6"/>
  <c r="G6" i="6"/>
  <c r="N3" i="6" a="1"/>
  <c r="N3" i="6" s="1"/>
  <c r="O3" i="6" a="1"/>
  <c r="O3" i="6" s="1"/>
  <c r="N5" i="6" a="1"/>
  <c r="N5" i="6" s="1"/>
  <c r="L4" i="6" a="1"/>
  <c r="L4" i="6" s="1"/>
  <c r="J99" i="6" a="1"/>
  <c r="J99" i="6" s="1"/>
  <c r="O6" i="6" a="1"/>
  <c r="O6" i="6" s="1"/>
  <c r="M5" i="6" a="1"/>
  <c r="M5" i="6" s="1"/>
  <c r="K4" i="6" a="1"/>
  <c r="K4" i="6" s="1"/>
  <c r="O98" i="6" a="1"/>
  <c r="O98" i="6" s="1"/>
  <c r="M3" i="6" a="1"/>
  <c r="M3" i="6" s="1"/>
  <c r="N6" i="6" a="1"/>
  <c r="N6" i="6" s="1"/>
  <c r="L5" i="6" a="1"/>
  <c r="L5" i="6" s="1"/>
  <c r="J4" i="6" a="1"/>
  <c r="J4" i="6" s="1"/>
  <c r="N98" i="6" a="1"/>
  <c r="N98" i="6" s="1"/>
  <c r="M6" i="6" a="1"/>
  <c r="M6" i="6" s="1"/>
  <c r="K5" i="6" a="1"/>
  <c r="K5" i="6" s="1"/>
  <c r="O99" i="6" a="1"/>
  <c r="O99" i="6" s="1"/>
  <c r="M98" i="6" a="1"/>
  <c r="M98" i="6" s="1"/>
  <c r="L6" i="6" a="1"/>
  <c r="L6" i="6" s="1"/>
  <c r="J5" i="6" a="1"/>
  <c r="J5" i="6" s="1"/>
  <c r="N99" i="6" a="1"/>
  <c r="N99" i="6" s="1"/>
  <c r="L98" i="6" a="1"/>
  <c r="L98" i="6" s="1"/>
  <c r="K3" i="6" a="1"/>
  <c r="K3" i="6" s="1"/>
  <c r="K6" i="6" a="1"/>
  <c r="K6" i="6" s="1"/>
  <c r="O4" i="6" a="1"/>
  <c r="O4" i="6" s="1"/>
  <c r="M99" i="6" a="1"/>
  <c r="M99" i="6" s="1"/>
  <c r="K98" i="6" a="1"/>
  <c r="K98" i="6" s="1"/>
  <c r="L3" i="6" a="1"/>
  <c r="L3" i="6" s="1"/>
  <c r="J6" i="6" a="1"/>
  <c r="J6" i="6" s="1"/>
  <c r="N4" i="6" a="1"/>
  <c r="N4" i="6" s="1"/>
  <c r="L99" i="6" a="1"/>
  <c r="L99" i="6" s="1"/>
  <c r="J98" i="6" a="1"/>
  <c r="J98" i="6" s="1"/>
  <c r="J3" i="6" a="1"/>
  <c r="J3" i="6" s="1"/>
  <c r="O5" i="6" a="1"/>
  <c r="O5" i="6" s="1"/>
  <c r="M4" i="6" a="1"/>
  <c r="M4" i="6" s="1"/>
  <c r="K99" i="6" a="1"/>
  <c r="K99" i="6" s="1"/>
  <c r="AS4" i="6" l="1"/>
  <c r="AQ4" i="6"/>
  <c r="AR4" i="6"/>
  <c r="M7" i="6" a="1"/>
  <c r="M7" i="6" s="1"/>
  <c r="L7" i="6" a="1"/>
  <c r="L7" i="6" s="1"/>
  <c r="K7" i="6" a="1"/>
  <c r="K7" i="6" s="1"/>
  <c r="N7" i="6" a="1"/>
  <c r="N7" i="6" s="1"/>
  <c r="G7" i="6"/>
  <c r="AM7" i="6" s="1"/>
  <c r="D7" i="6"/>
  <c r="J7" i="6" a="1"/>
  <c r="J7" i="6" s="1"/>
  <c r="C7" i="6"/>
  <c r="O7" i="6" a="1"/>
  <c r="O7" i="6" s="1"/>
  <c r="H7" i="12" a="1"/>
  <c r="H7" i="12" s="1"/>
  <c r="A8" i="6" s="1"/>
  <c r="AM6" i="6"/>
  <c r="AP6" i="6"/>
  <c r="AJ6" i="6" s="1"/>
  <c r="AR5" i="6"/>
  <c r="AQ5" i="6"/>
  <c r="AS5" i="6"/>
  <c r="I2" i="6"/>
  <c r="I3" i="6" s="1"/>
  <c r="I4" i="6"/>
  <c r="I6" i="6"/>
  <c r="P4" i="6"/>
  <c r="H4" i="6"/>
  <c r="R5" i="6"/>
  <c r="P3" i="6"/>
  <c r="P5" i="6"/>
  <c r="I98" i="6"/>
  <c r="R6" i="6"/>
  <c r="H5" i="6"/>
  <c r="R3" i="6"/>
  <c r="H3" i="6"/>
  <c r="T3" i="6" s="1"/>
  <c r="H6" i="6"/>
  <c r="R99" i="6"/>
  <c r="P6" i="6"/>
  <c r="R98" i="6"/>
  <c r="R4" i="6"/>
  <c r="H98" i="6"/>
  <c r="I99" i="6"/>
  <c r="P98" i="6"/>
  <c r="I5" i="6"/>
  <c r="P99" i="6"/>
  <c r="H99" i="6"/>
  <c r="U4" i="6" l="1"/>
  <c r="AP7" i="6"/>
  <c r="AJ7" i="6" s="1"/>
  <c r="R7" i="6"/>
  <c r="H7" i="6"/>
  <c r="T7" i="6" s="1"/>
  <c r="P7" i="6"/>
  <c r="I7" i="6"/>
  <c r="U7" i="6" s="1"/>
  <c r="H8" i="12" a="1"/>
  <c r="H8" i="12" s="1"/>
  <c r="H9" i="12" s="1" a="1"/>
  <c r="H9" i="12" s="1"/>
  <c r="A10" i="6" s="1"/>
  <c r="B10" i="6" s="1"/>
  <c r="E10" i="6" s="1"/>
  <c r="AR6" i="6"/>
  <c r="AQ6" i="6"/>
  <c r="AS6" i="6"/>
  <c r="T4" i="6"/>
  <c r="S3" i="6"/>
  <c r="B8" i="6"/>
  <c r="E8" i="6" s="1"/>
  <c r="O8" i="6" a="1"/>
  <c r="O8" i="6" s="1"/>
  <c r="J8" i="6" a="1"/>
  <c r="J8" i="6" s="1"/>
  <c r="K8" i="6" a="1"/>
  <c r="K8" i="6" s="1"/>
  <c r="N8" i="6" a="1"/>
  <c r="N8" i="6" s="1"/>
  <c r="M8" i="6" a="1"/>
  <c r="M8" i="6" s="1"/>
  <c r="L8" i="6" a="1"/>
  <c r="L8" i="6" s="1"/>
  <c r="U3" i="6"/>
  <c r="V3" i="6" s="1"/>
  <c r="U5" i="6"/>
  <c r="U99" i="6"/>
  <c r="U6" i="6"/>
  <c r="U98" i="6"/>
  <c r="S6" i="6"/>
  <c r="S98" i="6"/>
  <c r="T5" i="6"/>
  <c r="Q99" i="6"/>
  <c r="S5" i="6"/>
  <c r="T99" i="6"/>
  <c r="Q3" i="6"/>
  <c r="T98" i="6"/>
  <c r="T6" i="6"/>
  <c r="S4" i="6"/>
  <c r="Q98" i="6"/>
  <c r="S99" i="6"/>
  <c r="S7" i="6" l="1"/>
  <c r="V4" i="6"/>
  <c r="W4" i="6" s="1"/>
  <c r="X4" i="6" s="1"/>
  <c r="Z4" i="6" s="1"/>
  <c r="AT4" i="6" s="1"/>
  <c r="AU4" i="6" s="1"/>
  <c r="AS7" i="6"/>
  <c r="AQ7" i="6"/>
  <c r="AR7" i="6"/>
  <c r="M10" i="6" a="1"/>
  <c r="M10" i="6" s="1"/>
  <c r="H10" i="12" a="1"/>
  <c r="H10" i="12" s="1"/>
  <c r="A11" i="6" s="1"/>
  <c r="N10" i="6" a="1"/>
  <c r="N10" i="6" s="1"/>
  <c r="O10" i="6" a="1"/>
  <c r="O10" i="6" s="1"/>
  <c r="L10" i="6" a="1"/>
  <c r="L10" i="6" s="1"/>
  <c r="J10" i="6" a="1"/>
  <c r="J10" i="6" s="1"/>
  <c r="K10" i="6" a="1"/>
  <c r="K10" i="6" s="1"/>
  <c r="A9" i="6"/>
  <c r="J9" i="6" s="1" a="1"/>
  <c r="J9" i="6" s="1"/>
  <c r="W3" i="6"/>
  <c r="X3" i="6" s="1"/>
  <c r="Z3" i="6" s="1"/>
  <c r="C8" i="6"/>
  <c r="D8" i="6"/>
  <c r="G8" i="6"/>
  <c r="P8" i="6"/>
  <c r="H8" i="6"/>
  <c r="T8" i="6" s="1"/>
  <c r="R8" i="6"/>
  <c r="I8" i="6"/>
  <c r="U8" i="6" s="1"/>
  <c r="D10" i="6"/>
  <c r="G10" i="6"/>
  <c r="C10" i="6"/>
  <c r="V5" i="6"/>
  <c r="V7" i="6"/>
  <c r="V98" i="6"/>
  <c r="V99" i="6"/>
  <c r="V6" i="6"/>
  <c r="Y4" i="6" l="1"/>
  <c r="AA4" i="6" s="1"/>
  <c r="AD4" i="6"/>
  <c r="AE4" i="6"/>
  <c r="AF4" i="6"/>
  <c r="Y3" i="6"/>
  <c r="AA3" i="6" s="1"/>
  <c r="AB3" i="6" s="1"/>
  <c r="AD3" i="6"/>
  <c r="AF3" i="6"/>
  <c r="AE3" i="6"/>
  <c r="I10" i="6"/>
  <c r="U10" i="6" s="1"/>
  <c r="R10" i="6"/>
  <c r="P10" i="6"/>
  <c r="H10" i="6"/>
  <c r="T10" i="6" s="1"/>
  <c r="M9" i="6" a="1"/>
  <c r="M9" i="6" s="1"/>
  <c r="O9" i="6" a="1"/>
  <c r="O9" i="6" s="1"/>
  <c r="K9" i="6" a="1"/>
  <c r="K9" i="6" s="1"/>
  <c r="N9" i="6" a="1"/>
  <c r="N9" i="6" s="1"/>
  <c r="L9" i="6" a="1"/>
  <c r="L9" i="6" s="1"/>
  <c r="AP10" i="6"/>
  <c r="AJ10" i="6" s="1"/>
  <c r="AM10" i="6"/>
  <c r="B9" i="6"/>
  <c r="E9" i="6" s="1"/>
  <c r="AM8" i="6"/>
  <c r="AP8" i="6"/>
  <c r="AJ8" i="6" s="1"/>
  <c r="H11" i="12" a="1"/>
  <c r="H11" i="12" s="1"/>
  <c r="H12" i="12" s="1" a="1"/>
  <c r="H12" i="12" s="1"/>
  <c r="W6" i="6"/>
  <c r="Y6" i="6" s="1"/>
  <c r="AA6" i="6" s="1"/>
  <c r="W99" i="6"/>
  <c r="Y99" i="6" s="1"/>
  <c r="AA99" i="6" s="1"/>
  <c r="W7" i="6"/>
  <c r="X7" i="6" s="1"/>
  <c r="W98" i="6"/>
  <c r="Y98" i="6" s="1"/>
  <c r="AA98" i="6" s="1"/>
  <c r="W5" i="6"/>
  <c r="X5" i="6" s="1"/>
  <c r="Z5" i="6" s="1"/>
  <c r="AT5" i="6" s="1"/>
  <c r="AU5" i="6" s="1"/>
  <c r="V8" i="6"/>
  <c r="S8" i="6"/>
  <c r="B11" i="6"/>
  <c r="E11" i="6" s="1"/>
  <c r="M11" i="6" a="1"/>
  <c r="M11" i="6" s="1"/>
  <c r="L11" i="6" a="1"/>
  <c r="L11" i="6" s="1"/>
  <c r="K11" i="6" a="1"/>
  <c r="K11" i="6" s="1"/>
  <c r="J11" i="6" a="1"/>
  <c r="J11" i="6" s="1"/>
  <c r="O11" i="6" a="1"/>
  <c r="O11" i="6" s="1"/>
  <c r="N11" i="6" a="1"/>
  <c r="N11" i="6" s="1"/>
  <c r="AC3" i="6" l="1"/>
  <c r="AG4" i="6"/>
  <c r="AH4" i="6"/>
  <c r="AH3" i="6"/>
  <c r="AG3" i="6"/>
  <c r="S10" i="6"/>
  <c r="AF5" i="6"/>
  <c r="AE5" i="6"/>
  <c r="V10" i="6"/>
  <c r="W10" i="6" s="1"/>
  <c r="Y10" i="6" s="1"/>
  <c r="AA10" i="6" s="1"/>
  <c r="AD5" i="6"/>
  <c r="G9" i="6"/>
  <c r="AM9" i="6" s="1"/>
  <c r="D9" i="6"/>
  <c r="C9" i="6"/>
  <c r="H9" i="6"/>
  <c r="T9" i="6" s="1"/>
  <c r="R9" i="6"/>
  <c r="I9" i="6"/>
  <c r="U9" i="6" s="1"/>
  <c r="P9" i="6"/>
  <c r="A12" i="6"/>
  <c r="B12" i="6" s="1"/>
  <c r="E12" i="6" s="1"/>
  <c r="AS8" i="6"/>
  <c r="AR8" i="6"/>
  <c r="AQ8" i="6"/>
  <c r="X6" i="6"/>
  <c r="Z6" i="6" s="1"/>
  <c r="AT6" i="6" s="1"/>
  <c r="AU6" i="6" s="1"/>
  <c r="AS10" i="6"/>
  <c r="AQ10" i="6"/>
  <c r="AR10" i="6"/>
  <c r="Y5" i="6"/>
  <c r="AA5" i="6" s="1"/>
  <c r="AB5" i="6" s="1"/>
  <c r="Z7" i="6"/>
  <c r="AT7" i="6" s="1"/>
  <c r="AU7" i="6" s="1"/>
  <c r="X98" i="6"/>
  <c r="Z98" i="6" s="1"/>
  <c r="AT98" i="6" s="1"/>
  <c r="AU98" i="6" s="1"/>
  <c r="X99" i="6"/>
  <c r="Y7" i="6"/>
  <c r="W8" i="6"/>
  <c r="X8" i="6" s="1"/>
  <c r="Z8" i="6" s="1"/>
  <c r="AB4" i="6"/>
  <c r="R11" i="6"/>
  <c r="I11" i="6"/>
  <c r="U11" i="6" s="1"/>
  <c r="D11" i="6"/>
  <c r="G11" i="6"/>
  <c r="C11" i="6"/>
  <c r="A13" i="6"/>
  <c r="H13" i="12" a="1"/>
  <c r="H13" i="12" s="1"/>
  <c r="P11" i="6"/>
  <c r="H11" i="6"/>
  <c r="T11" i="6" s="1"/>
  <c r="AI4" i="6" l="1"/>
  <c r="AL4" i="6" s="1"/>
  <c r="AT8" i="6"/>
  <c r="AU8" i="6" s="1"/>
  <c r="AI3" i="6"/>
  <c r="AH5" i="6"/>
  <c r="AG5" i="6"/>
  <c r="AD98" i="6"/>
  <c r="AE98" i="6"/>
  <c r="AF98" i="6"/>
  <c r="AE7" i="6"/>
  <c r="AF7" i="6"/>
  <c r="AF8" i="6"/>
  <c r="AE8" i="6"/>
  <c r="AD6" i="6"/>
  <c r="AF6" i="6"/>
  <c r="AE6" i="6"/>
  <c r="AD7" i="6"/>
  <c r="AD8" i="6"/>
  <c r="AB6" i="6"/>
  <c r="AB98" i="6"/>
  <c r="O12" i="6" a="1"/>
  <c r="O12" i="6" s="1"/>
  <c r="V9" i="6"/>
  <c r="W9" i="6" s="1"/>
  <c r="Y9" i="6" s="1"/>
  <c r="AA9" i="6" s="1"/>
  <c r="AP9" i="6"/>
  <c r="AJ9" i="6" s="1"/>
  <c r="M12" i="6" a="1"/>
  <c r="M12" i="6" s="1"/>
  <c r="L12" i="6" a="1"/>
  <c r="L12" i="6" s="1"/>
  <c r="K12" i="6" a="1"/>
  <c r="K12" i="6" s="1"/>
  <c r="J12" i="6" a="1"/>
  <c r="J12" i="6" s="1"/>
  <c r="N12" i="6" a="1"/>
  <c r="N12" i="6" s="1"/>
  <c r="AC5" i="6"/>
  <c r="S9" i="6"/>
  <c r="AP11" i="6"/>
  <c r="AJ11" i="6" s="1"/>
  <c r="AM11" i="6"/>
  <c r="AA7" i="6"/>
  <c r="AC7" i="6" s="1"/>
  <c r="X10" i="6"/>
  <c r="Z10" i="6" s="1"/>
  <c r="AT10" i="6" s="1"/>
  <c r="AU10" i="6" s="1"/>
  <c r="Y8" i="6"/>
  <c r="AC98" i="6"/>
  <c r="Z99" i="6"/>
  <c r="AT99" i="6" s="1"/>
  <c r="AU99" i="6" s="1"/>
  <c r="AC4" i="6"/>
  <c r="AV4" i="6" s="1"/>
  <c r="AW4" i="6" s="1"/>
  <c r="V11" i="6"/>
  <c r="W11" i="6" s="1"/>
  <c r="X11" i="6" s="1"/>
  <c r="Z11" i="6" s="1"/>
  <c r="AC6" i="6"/>
  <c r="C12" i="6"/>
  <c r="D12" i="6"/>
  <c r="G12" i="6"/>
  <c r="B13" i="6"/>
  <c r="E13" i="6" s="1"/>
  <c r="M13" i="6" a="1"/>
  <c r="M13" i="6" s="1"/>
  <c r="L13" i="6" a="1"/>
  <c r="L13" i="6" s="1"/>
  <c r="N13" i="6" a="1"/>
  <c r="N13" i="6" s="1"/>
  <c r="J13" i="6" a="1"/>
  <c r="J13" i="6" s="1"/>
  <c r="K13" i="6" a="1"/>
  <c r="K13" i="6" s="1"/>
  <c r="O13" i="6" a="1"/>
  <c r="O13" i="6" s="1"/>
  <c r="X9" i="6"/>
  <c r="Z9" i="6" s="1"/>
  <c r="A14" i="6"/>
  <c r="H14" i="12" a="1"/>
  <c r="H14" i="12" s="1"/>
  <c r="S11" i="6"/>
  <c r="AI5" i="6" l="1"/>
  <c r="AL5" i="6" s="1"/>
  <c r="AX4" i="6"/>
  <c r="AY4" i="6"/>
  <c r="AG7" i="6"/>
  <c r="AH7" i="6"/>
  <c r="AG8" i="6"/>
  <c r="AH8" i="6"/>
  <c r="AH98" i="6"/>
  <c r="AG98" i="6"/>
  <c r="AG6" i="6"/>
  <c r="AH6" i="6"/>
  <c r="AD11" i="6"/>
  <c r="AE11" i="6"/>
  <c r="AF11" i="6"/>
  <c r="AD99" i="6"/>
  <c r="AE99" i="6"/>
  <c r="AF99" i="6"/>
  <c r="AD9" i="6"/>
  <c r="AF9" i="6"/>
  <c r="AE9" i="6"/>
  <c r="AD10" i="6"/>
  <c r="AE10" i="6"/>
  <c r="AF10" i="6"/>
  <c r="AR9" i="6"/>
  <c r="AC99" i="6"/>
  <c r="AB10" i="6"/>
  <c r="AQ9" i="6"/>
  <c r="AT9" i="6" s="1"/>
  <c r="AU9" i="6" s="1"/>
  <c r="AS9" i="6"/>
  <c r="I12" i="6"/>
  <c r="U12" i="6" s="1"/>
  <c r="H12" i="6"/>
  <c r="T12" i="6" s="1"/>
  <c r="P12" i="6"/>
  <c r="R12" i="6"/>
  <c r="AM12" i="6"/>
  <c r="AP12" i="6"/>
  <c r="AJ12" i="6" s="1"/>
  <c r="AQ11" i="6"/>
  <c r="AT11" i="6" s="1"/>
  <c r="AU11" i="6" s="1"/>
  <c r="AR11" i="6"/>
  <c r="AS11" i="6"/>
  <c r="AB7" i="6"/>
  <c r="AA8" i="6"/>
  <c r="AC8" i="6" s="1"/>
  <c r="AV98" i="6"/>
  <c r="AW98" i="6" s="1"/>
  <c r="AX98" i="6" s="1"/>
  <c r="AC10" i="6"/>
  <c r="AL3" i="6"/>
  <c r="AB99" i="6"/>
  <c r="Y11" i="6"/>
  <c r="AC9" i="6"/>
  <c r="R13" i="6"/>
  <c r="I13" i="6"/>
  <c r="C13" i="6"/>
  <c r="D13" i="6"/>
  <c r="G13" i="6"/>
  <c r="B14" i="6"/>
  <c r="E14" i="6" s="1"/>
  <c r="O14" i="6" a="1"/>
  <c r="O14" i="6" s="1"/>
  <c r="N14" i="6" a="1"/>
  <c r="N14" i="6" s="1"/>
  <c r="M14" i="6" a="1"/>
  <c r="M14" i="6" s="1"/>
  <c r="L14" i="6" a="1"/>
  <c r="L14" i="6" s="1"/>
  <c r="J14" i="6" a="1"/>
  <c r="J14" i="6" s="1"/>
  <c r="K14" i="6" a="1"/>
  <c r="K14" i="6" s="1"/>
  <c r="AB9" i="6"/>
  <c r="H13" i="6"/>
  <c r="T13" i="6" s="1"/>
  <c r="P13" i="6"/>
  <c r="A15" i="6"/>
  <c r="H15" i="12" a="1"/>
  <c r="H15" i="12" s="1"/>
  <c r="A10" i="4"/>
  <c r="A9" i="4"/>
  <c r="A8" i="4"/>
  <c r="A7" i="4"/>
  <c r="A6" i="4"/>
  <c r="A5" i="4"/>
  <c r="A4" i="4"/>
  <c r="A3" i="4"/>
  <c r="A2" i="4"/>
  <c r="A1" i="4"/>
  <c r="AI8" i="6" l="1"/>
  <c r="AL8" i="6" s="1"/>
  <c r="AI98" i="6"/>
  <c r="AL98" i="6" s="1"/>
  <c r="AH99" i="6"/>
  <c r="AG99" i="6"/>
  <c r="AI6" i="6"/>
  <c r="AL6" i="6" s="1"/>
  <c r="AH10" i="6"/>
  <c r="AG10" i="6"/>
  <c r="AI7" i="6"/>
  <c r="AL7" i="6" s="1"/>
  <c r="AH9" i="6"/>
  <c r="AG9" i="6"/>
  <c r="AH11" i="6"/>
  <c r="AG11" i="6"/>
  <c r="S12" i="6"/>
  <c r="V12" i="6"/>
  <c r="W12" i="6" s="1"/>
  <c r="Y12" i="6" s="1"/>
  <c r="AA12" i="6" s="1"/>
  <c r="AM13" i="6"/>
  <c r="AP13" i="6"/>
  <c r="AJ13" i="6" s="1"/>
  <c r="AR12" i="6"/>
  <c r="AQ12" i="6"/>
  <c r="AS12" i="6"/>
  <c r="AA11" i="6"/>
  <c r="AC11" i="6" s="1"/>
  <c r="AB8" i="6"/>
  <c r="AY98" i="6"/>
  <c r="AV99" i="6"/>
  <c r="AW99" i="6" s="1"/>
  <c r="AX99" i="6" s="1"/>
  <c r="C14" i="6"/>
  <c r="D14" i="6"/>
  <c r="G14" i="6"/>
  <c r="P14" i="6"/>
  <c r="H14" i="6"/>
  <c r="T14" i="6" s="1"/>
  <c r="A16" i="6"/>
  <c r="H16" i="12" a="1"/>
  <c r="H16" i="12" s="1"/>
  <c r="I14" i="6"/>
  <c r="U14" i="6" s="1"/>
  <c r="R14" i="6"/>
  <c r="S13" i="6"/>
  <c r="U13" i="6"/>
  <c r="V13" i="6" s="1"/>
  <c r="W13" i="6" s="1"/>
  <c r="B15" i="6"/>
  <c r="E15" i="6" s="1"/>
  <c r="J15" i="6" a="1"/>
  <c r="J15" i="6" s="1"/>
  <c r="O15" i="6" a="1"/>
  <c r="O15" i="6" s="1"/>
  <c r="N15" i="6" a="1"/>
  <c r="N15" i="6" s="1"/>
  <c r="M15" i="6" a="1"/>
  <c r="M15" i="6" s="1"/>
  <c r="K15" i="6" a="1"/>
  <c r="K15" i="6" s="1"/>
  <c r="L15" i="6" a="1"/>
  <c r="L15" i="6" s="1"/>
  <c r="Q5" i="6"/>
  <c r="Q13" i="6"/>
  <c r="Q11" i="6"/>
  <c r="Q4" i="6"/>
  <c r="Q7" i="6"/>
  <c r="Q9" i="6"/>
  <c r="Q6" i="6"/>
  <c r="Q10" i="6"/>
  <c r="Q8" i="6"/>
  <c r="Q12" i="6"/>
  <c r="AI99" i="6" l="1"/>
  <c r="AL99" i="6" s="1"/>
  <c r="AI9" i="6"/>
  <c r="AL9" i="6" s="1"/>
  <c r="AI10" i="6"/>
  <c r="AL10" i="6" s="1"/>
  <c r="AI11" i="6"/>
  <c r="AL11" i="6" s="1"/>
  <c r="Q14" i="6"/>
  <c r="AM14" i="6"/>
  <c r="AP14" i="6"/>
  <c r="AJ14" i="6" s="1"/>
  <c r="AR13" i="6"/>
  <c r="AQ13" i="6"/>
  <c r="AS13" i="6"/>
  <c r="AB11" i="6"/>
  <c r="AV11" i="6" s="1"/>
  <c r="AW11" i="6" s="1"/>
  <c r="AX11" i="6" s="1"/>
  <c r="X12" i="6"/>
  <c r="Z12" i="6" s="1"/>
  <c r="AT12" i="6" s="1"/>
  <c r="AU12" i="6" s="1"/>
  <c r="AY99" i="6"/>
  <c r="S14" i="6"/>
  <c r="X13" i="6"/>
  <c r="Z13" i="6" s="1"/>
  <c r="Y13" i="6"/>
  <c r="AA13" i="6" s="1"/>
  <c r="H15" i="6"/>
  <c r="T15" i="6" s="1"/>
  <c r="P15" i="6"/>
  <c r="C15" i="6"/>
  <c r="D15" i="6"/>
  <c r="G15" i="6"/>
  <c r="V14" i="6"/>
  <c r="W14" i="6" s="1"/>
  <c r="A17" i="6"/>
  <c r="H17" i="12" a="1"/>
  <c r="H17" i="12" s="1"/>
  <c r="B16" i="6"/>
  <c r="E16" i="6" s="1"/>
  <c r="K16" i="6" a="1"/>
  <c r="K16" i="6" s="1"/>
  <c r="J16" i="6" a="1"/>
  <c r="J16" i="6" s="1"/>
  <c r="L16" i="6" a="1"/>
  <c r="L16" i="6" s="1"/>
  <c r="O16" i="6" a="1"/>
  <c r="O16" i="6" s="1"/>
  <c r="M16" i="6" a="1"/>
  <c r="M16" i="6" s="1"/>
  <c r="N16" i="6" a="1"/>
  <c r="N16" i="6" s="1"/>
  <c r="I15" i="6"/>
  <c r="U15" i="6" s="1"/>
  <c r="R15" i="6"/>
  <c r="AV9" i="6"/>
  <c r="AW9" i="6" s="1"/>
  <c r="AX9" i="6" s="1"/>
  <c r="AV5" i="6"/>
  <c r="AW5" i="6" s="1"/>
  <c r="AX5" i="6" s="1"/>
  <c r="AV10" i="6"/>
  <c r="AW10" i="6" s="1"/>
  <c r="AX10" i="6" s="1"/>
  <c r="AT13" i="6" l="1"/>
  <c r="AU13" i="6" s="1"/>
  <c r="AF13" i="6"/>
  <c r="AE13" i="6"/>
  <c r="AD12" i="6"/>
  <c r="AF12" i="6"/>
  <c r="AE12" i="6"/>
  <c r="AD13" i="6"/>
  <c r="AB12" i="6"/>
  <c r="AM15" i="6"/>
  <c r="AP15" i="6"/>
  <c r="AJ15" i="6" s="1"/>
  <c r="AR14" i="6"/>
  <c r="AQ14" i="6"/>
  <c r="AS14" i="6"/>
  <c r="AC12" i="6"/>
  <c r="Q15" i="6"/>
  <c r="S15" i="6"/>
  <c r="AC13" i="6"/>
  <c r="C16" i="6"/>
  <c r="D16" i="6"/>
  <c r="G16" i="6"/>
  <c r="B17" i="6"/>
  <c r="E17" i="6" s="1"/>
  <c r="M17" i="6" a="1"/>
  <c r="M17" i="6" s="1"/>
  <c r="N17" i="6" a="1"/>
  <c r="N17" i="6" s="1"/>
  <c r="K17" i="6" a="1"/>
  <c r="K17" i="6" s="1"/>
  <c r="J17" i="6" a="1"/>
  <c r="J17" i="6" s="1"/>
  <c r="O17" i="6" a="1"/>
  <c r="O17" i="6" s="1"/>
  <c r="L17" i="6" a="1"/>
  <c r="L17" i="6" s="1"/>
  <c r="R16" i="6"/>
  <c r="I16" i="6"/>
  <c r="U16" i="6" s="1"/>
  <c r="A18" i="6"/>
  <c r="H18" i="12" a="1"/>
  <c r="H18" i="12" s="1"/>
  <c r="X14" i="6"/>
  <c r="Z14" i="6" s="1"/>
  <c r="Y14" i="6"/>
  <c r="AA14" i="6" s="1"/>
  <c r="V15" i="6"/>
  <c r="W15" i="6" s="1"/>
  <c r="H16" i="6"/>
  <c r="T16" i="6" s="1"/>
  <c r="P16" i="6"/>
  <c r="AB13" i="6"/>
  <c r="AY5" i="6"/>
  <c r="AY11" i="6"/>
  <c r="AY10" i="6"/>
  <c r="AY9" i="6"/>
  <c r="AV8" i="6"/>
  <c r="AW8" i="6" s="1"/>
  <c r="AX8" i="6" s="1"/>
  <c r="AV6" i="6"/>
  <c r="AW6" i="6" s="1"/>
  <c r="AX6" i="6" s="1"/>
  <c r="AV7" i="6"/>
  <c r="AW7" i="6" s="1"/>
  <c r="AX7" i="6" s="1"/>
  <c r="AT14" i="6" l="1"/>
  <c r="AU14" i="6" s="1"/>
  <c r="AH13" i="6"/>
  <c r="AG13" i="6"/>
  <c r="AH12" i="6"/>
  <c r="AG12" i="6"/>
  <c r="AF14" i="6"/>
  <c r="AE14" i="6"/>
  <c r="AD14" i="6"/>
  <c r="AM16" i="6"/>
  <c r="AP16" i="6"/>
  <c r="AJ16" i="6" s="1"/>
  <c r="AR15" i="6"/>
  <c r="AS15" i="6"/>
  <c r="AQ15" i="6"/>
  <c r="AV12" i="6"/>
  <c r="V16" i="6"/>
  <c r="AC14" i="6"/>
  <c r="Q16" i="6"/>
  <c r="R17" i="6"/>
  <c r="I17" i="6"/>
  <c r="U17" i="6" s="1"/>
  <c r="AV13" i="6"/>
  <c r="AW13" i="6" s="1"/>
  <c r="AX13" i="6" s="1"/>
  <c r="Y15" i="6"/>
  <c r="AA15" i="6" s="1"/>
  <c r="X15" i="6"/>
  <c r="Z15" i="6" s="1"/>
  <c r="S16" i="6"/>
  <c r="G17" i="6"/>
  <c r="C17" i="6"/>
  <c r="D17" i="6"/>
  <c r="AB14" i="6"/>
  <c r="H19" i="12" a="1"/>
  <c r="H19" i="12" s="1"/>
  <c r="A19" i="6"/>
  <c r="B18" i="6"/>
  <c r="E18" i="6" s="1"/>
  <c r="N18" i="6" a="1"/>
  <c r="N18" i="6" s="1"/>
  <c r="M18" i="6" a="1"/>
  <c r="M18" i="6" s="1"/>
  <c r="L18" i="6" a="1"/>
  <c r="L18" i="6" s="1"/>
  <c r="O18" i="6" a="1"/>
  <c r="O18" i="6" s="1"/>
  <c r="K18" i="6" a="1"/>
  <c r="K18" i="6" s="1"/>
  <c r="J18" i="6" a="1"/>
  <c r="J18" i="6" s="1"/>
  <c r="H17" i="6"/>
  <c r="T17" i="6" s="1"/>
  <c r="P17" i="6"/>
  <c r="AY7" i="6"/>
  <c r="AY8" i="6"/>
  <c r="AY6" i="6"/>
  <c r="AI13" i="6" l="1"/>
  <c r="AL13" i="6" s="1"/>
  <c r="AI12" i="6"/>
  <c r="AL12" i="6" s="1"/>
  <c r="AT15" i="6"/>
  <c r="AU15" i="6" s="1"/>
  <c r="AG14" i="6"/>
  <c r="AH14" i="6"/>
  <c r="AW12" i="6"/>
  <c r="AF15" i="6"/>
  <c r="AE15" i="6"/>
  <c r="AD15" i="6"/>
  <c r="AS16" i="6"/>
  <c r="AR16" i="6"/>
  <c r="AQ16" i="6"/>
  <c r="AM17" i="6"/>
  <c r="AP17" i="6"/>
  <c r="AJ17" i="6" s="1"/>
  <c r="W16" i="6"/>
  <c r="Y16" i="6" s="1"/>
  <c r="AA16" i="6" s="1"/>
  <c r="V17" i="6"/>
  <c r="AY13" i="6"/>
  <c r="S17" i="6"/>
  <c r="H20" i="12" a="1"/>
  <c r="H20" i="12" s="1"/>
  <c r="A20" i="6"/>
  <c r="AC15" i="6"/>
  <c r="AB15" i="6"/>
  <c r="P18" i="6"/>
  <c r="H18" i="6"/>
  <c r="T18" i="6" s="1"/>
  <c r="AV14" i="6"/>
  <c r="AW14" i="6" s="1"/>
  <c r="AX14" i="6" s="1"/>
  <c r="R18" i="6"/>
  <c r="I18" i="6"/>
  <c r="U18" i="6" s="1"/>
  <c r="Q17" i="6"/>
  <c r="D18" i="6"/>
  <c r="G18" i="6"/>
  <c r="C18" i="6"/>
  <c r="B19" i="6"/>
  <c r="E19" i="6" s="1"/>
  <c r="J19" i="6" a="1"/>
  <c r="J19" i="6" s="1"/>
  <c r="N19" i="6" a="1"/>
  <c r="N19" i="6" s="1"/>
  <c r="M19" i="6" a="1"/>
  <c r="M19" i="6" s="1"/>
  <c r="O19" i="6" a="1"/>
  <c r="O19" i="6" s="1"/>
  <c r="L19" i="6" a="1"/>
  <c r="L19" i="6" s="1"/>
  <c r="K19" i="6" a="1"/>
  <c r="K19" i="6" s="1"/>
  <c r="AI14" i="6" l="1"/>
  <c r="AL14" i="6" s="1"/>
  <c r="AH15" i="6"/>
  <c r="AG15" i="6"/>
  <c r="AX12" i="6"/>
  <c r="AY12" i="6"/>
  <c r="AS17" i="6"/>
  <c r="AR17" i="6"/>
  <c r="AQ17" i="6"/>
  <c r="AM18" i="6"/>
  <c r="AP18" i="6"/>
  <c r="AJ18" i="6" s="1"/>
  <c r="X16" i="6"/>
  <c r="Z16" i="6" s="1"/>
  <c r="AT16" i="6" s="1"/>
  <c r="AU16" i="6" s="1"/>
  <c r="W17" i="6"/>
  <c r="X17" i="6" s="1"/>
  <c r="Z17" i="6" s="1"/>
  <c r="S18" i="6"/>
  <c r="AV15" i="6"/>
  <c r="AW15" i="6" s="1"/>
  <c r="AX15" i="6" s="1"/>
  <c r="R19" i="6"/>
  <c r="I19" i="6"/>
  <c r="U19" i="6" s="1"/>
  <c r="AY14" i="6"/>
  <c r="P19" i="6"/>
  <c r="H19" i="6"/>
  <c r="T19" i="6" s="1"/>
  <c r="V18" i="6"/>
  <c r="W18" i="6" s="1"/>
  <c r="D19" i="6"/>
  <c r="G19" i="6"/>
  <c r="C19" i="6"/>
  <c r="Q18" i="6"/>
  <c r="B20" i="6"/>
  <c r="E20" i="6" s="1"/>
  <c r="L20" i="6" a="1"/>
  <c r="L20" i="6" s="1"/>
  <c r="O20" i="6" a="1"/>
  <c r="O20" i="6" s="1"/>
  <c r="N20" i="6" a="1"/>
  <c r="N20" i="6" s="1"/>
  <c r="J20" i="6" a="1"/>
  <c r="J20" i="6" s="1"/>
  <c r="K20" i="6" a="1"/>
  <c r="K20" i="6" s="1"/>
  <c r="M20" i="6" a="1"/>
  <c r="M20" i="6" s="1"/>
  <c r="H21" i="12" a="1"/>
  <c r="H21" i="12" s="1"/>
  <c r="A21" i="6"/>
  <c r="AI15" i="6" l="1"/>
  <c r="AL15" i="6" s="1"/>
  <c r="AT17" i="6"/>
  <c r="AU17" i="6" s="1"/>
  <c r="AF16" i="6"/>
  <c r="AE16" i="6"/>
  <c r="AF17" i="6"/>
  <c r="AE17" i="6"/>
  <c r="AD17" i="6"/>
  <c r="AD16" i="6"/>
  <c r="AQ18" i="6"/>
  <c r="AS18" i="6"/>
  <c r="AR18" i="6"/>
  <c r="AP19" i="6"/>
  <c r="AJ19" i="6" s="1"/>
  <c r="AM19" i="6"/>
  <c r="Y17" i="6"/>
  <c r="AC16" i="6"/>
  <c r="AB16" i="6"/>
  <c r="Q19" i="6"/>
  <c r="B21" i="6"/>
  <c r="E21" i="6" s="1"/>
  <c r="O21" i="6" a="1"/>
  <c r="O21" i="6" s="1"/>
  <c r="M21" i="6" a="1"/>
  <c r="M21" i="6" s="1"/>
  <c r="N21" i="6" a="1"/>
  <c r="N21" i="6" s="1"/>
  <c r="K21" i="6" a="1"/>
  <c r="K21" i="6" s="1"/>
  <c r="J21" i="6" a="1"/>
  <c r="J21" i="6" s="1"/>
  <c r="L21" i="6" a="1"/>
  <c r="L21" i="6" s="1"/>
  <c r="C20" i="6"/>
  <c r="D20" i="6"/>
  <c r="G20" i="6"/>
  <c r="V19" i="6"/>
  <c r="W19" i="6" s="1"/>
  <c r="S19" i="6"/>
  <c r="H22" i="12" a="1"/>
  <c r="H22" i="12" s="1"/>
  <c r="A22" i="6"/>
  <c r="R20" i="6"/>
  <c r="I20" i="6"/>
  <c r="U20" i="6" s="1"/>
  <c r="AY15" i="6"/>
  <c r="H20" i="6"/>
  <c r="T20" i="6" s="1"/>
  <c r="P20" i="6"/>
  <c r="X18" i="6"/>
  <c r="Z18" i="6" s="1"/>
  <c r="Y18" i="6"/>
  <c r="AA18" i="6" s="1"/>
  <c r="AT18" i="6" l="1"/>
  <c r="AU18" i="6" s="1"/>
  <c r="AH17" i="6"/>
  <c r="AG17" i="6"/>
  <c r="AG16" i="6"/>
  <c r="AH16" i="6"/>
  <c r="AE18" i="6"/>
  <c r="AF18" i="6"/>
  <c r="AD18" i="6"/>
  <c r="AM20" i="6"/>
  <c r="AP20" i="6"/>
  <c r="AJ20" i="6" s="1"/>
  <c r="AQ19" i="6"/>
  <c r="AS19" i="6"/>
  <c r="AR19" i="6"/>
  <c r="AA17" i="6"/>
  <c r="AC17" i="6" s="1"/>
  <c r="AV16" i="6"/>
  <c r="AW16" i="6" s="1"/>
  <c r="AX16" i="6" s="1"/>
  <c r="Q20" i="6"/>
  <c r="AC18" i="6"/>
  <c r="Y19" i="6"/>
  <c r="AA19" i="6" s="1"/>
  <c r="X19" i="6"/>
  <c r="Z19" i="6" s="1"/>
  <c r="I21" i="6"/>
  <c r="U21" i="6" s="1"/>
  <c r="R21" i="6"/>
  <c r="V20" i="6"/>
  <c r="W20" i="6" s="1"/>
  <c r="AB18" i="6"/>
  <c r="C21" i="6"/>
  <c r="D21" i="6"/>
  <c r="G21" i="6"/>
  <c r="S20" i="6"/>
  <c r="B22" i="6"/>
  <c r="E22" i="6" s="1"/>
  <c r="K22" i="6" a="1"/>
  <c r="K22" i="6" s="1"/>
  <c r="O22" i="6" a="1"/>
  <c r="O22" i="6" s="1"/>
  <c r="J22" i="6" a="1"/>
  <c r="J22" i="6" s="1"/>
  <c r="N22" i="6" a="1"/>
  <c r="N22" i="6" s="1"/>
  <c r="M22" i="6" a="1"/>
  <c r="M22" i="6" s="1"/>
  <c r="L22" i="6" a="1"/>
  <c r="L22" i="6" s="1"/>
  <c r="H23" i="12" a="1"/>
  <c r="H23" i="12" s="1"/>
  <c r="A23" i="6"/>
  <c r="P21" i="6"/>
  <c r="H21" i="6"/>
  <c r="T21" i="6" s="1"/>
  <c r="AT19" i="6" l="1"/>
  <c r="AU19" i="6" s="1"/>
  <c r="AI17" i="6"/>
  <c r="AL17" i="6" s="1"/>
  <c r="AH18" i="6"/>
  <c r="AG18" i="6"/>
  <c r="AI16" i="6"/>
  <c r="AL16" i="6" s="1"/>
  <c r="AE19" i="6"/>
  <c r="AF19" i="6"/>
  <c r="AD19" i="6"/>
  <c r="AB17" i="6"/>
  <c r="AV17" i="6" s="1"/>
  <c r="AR20" i="6"/>
  <c r="AQ20" i="6"/>
  <c r="AS20" i="6"/>
  <c r="AM21" i="6"/>
  <c r="AP21" i="6"/>
  <c r="AJ21" i="6" s="1"/>
  <c r="AY16" i="6"/>
  <c r="Q21" i="6"/>
  <c r="X20" i="6"/>
  <c r="Z20" i="6" s="1"/>
  <c r="Y20" i="6"/>
  <c r="AA20" i="6" s="1"/>
  <c r="P22" i="6"/>
  <c r="H22" i="6"/>
  <c r="T22" i="6" s="1"/>
  <c r="V21" i="6"/>
  <c r="W21" i="6" s="1"/>
  <c r="S21" i="6"/>
  <c r="B23" i="6"/>
  <c r="E23" i="6" s="1"/>
  <c r="M23" i="6" a="1"/>
  <c r="M23" i="6" s="1"/>
  <c r="L23" i="6" a="1"/>
  <c r="L23" i="6" s="1"/>
  <c r="N23" i="6" a="1"/>
  <c r="N23" i="6" s="1"/>
  <c r="K23" i="6" a="1"/>
  <c r="K23" i="6" s="1"/>
  <c r="J23" i="6" a="1"/>
  <c r="J23" i="6" s="1"/>
  <c r="O23" i="6" a="1"/>
  <c r="O23" i="6" s="1"/>
  <c r="C22" i="6"/>
  <c r="D22" i="6"/>
  <c r="G22" i="6"/>
  <c r="AB19" i="6"/>
  <c r="AC19" i="6"/>
  <c r="H24" i="12" a="1"/>
  <c r="H24" i="12" s="1"/>
  <c r="A24" i="6"/>
  <c r="AV18" i="6"/>
  <c r="AW18" i="6" s="1"/>
  <c r="AX18" i="6" s="1"/>
  <c r="I22" i="6"/>
  <c r="U22" i="6" s="1"/>
  <c r="R22" i="6"/>
  <c r="AI18" i="6" l="1"/>
  <c r="AL18" i="6" s="1"/>
  <c r="AT20" i="6"/>
  <c r="AU20" i="6" s="1"/>
  <c r="AW17" i="6"/>
  <c r="AH19" i="6"/>
  <c r="AG19" i="6"/>
  <c r="AF20" i="6"/>
  <c r="AE20" i="6"/>
  <c r="AD20" i="6"/>
  <c r="AQ21" i="6"/>
  <c r="AS21" i="6"/>
  <c r="AR21" i="6"/>
  <c r="AM22" i="6"/>
  <c r="AP22" i="6"/>
  <c r="AJ22" i="6" s="1"/>
  <c r="Q22" i="6"/>
  <c r="S22" i="6"/>
  <c r="AC20" i="6"/>
  <c r="H25" i="12" a="1"/>
  <c r="H25" i="12" s="1"/>
  <c r="A25" i="6"/>
  <c r="X21" i="6"/>
  <c r="Z21" i="6" s="1"/>
  <c r="Y21" i="6"/>
  <c r="AA21" i="6" s="1"/>
  <c r="AV19" i="6"/>
  <c r="AW19" i="6" s="1"/>
  <c r="AX19" i="6" s="1"/>
  <c r="P23" i="6"/>
  <c r="H23" i="6"/>
  <c r="T23" i="6" s="1"/>
  <c r="AY18" i="6"/>
  <c r="V22" i="6"/>
  <c r="W22" i="6" s="1"/>
  <c r="I23" i="6"/>
  <c r="U23" i="6" s="1"/>
  <c r="R23" i="6"/>
  <c r="B24" i="6"/>
  <c r="E24" i="6" s="1"/>
  <c r="K24" i="6" a="1"/>
  <c r="K24" i="6" s="1"/>
  <c r="J24" i="6" a="1"/>
  <c r="J24" i="6" s="1"/>
  <c r="L24" i="6" a="1"/>
  <c r="L24" i="6" s="1"/>
  <c r="M24" i="6" a="1"/>
  <c r="M24" i="6" s="1"/>
  <c r="N24" i="6" a="1"/>
  <c r="N24" i="6" s="1"/>
  <c r="O24" i="6" a="1"/>
  <c r="O24" i="6" s="1"/>
  <c r="C23" i="6"/>
  <c r="D23" i="6"/>
  <c r="G23" i="6"/>
  <c r="AB20" i="6"/>
  <c r="AT21" i="6" l="1"/>
  <c r="AU21" i="6" s="1"/>
  <c r="AI19" i="6"/>
  <c r="AL19" i="6" s="1"/>
  <c r="AX17" i="6"/>
  <c r="AY17" i="6"/>
  <c r="AH20" i="6"/>
  <c r="AG20" i="6"/>
  <c r="AD21" i="6"/>
  <c r="AF21" i="6"/>
  <c r="AE21" i="6"/>
  <c r="AR22" i="6"/>
  <c r="AQ22" i="6"/>
  <c r="AS22" i="6"/>
  <c r="AM23" i="6"/>
  <c r="AP23" i="6"/>
  <c r="AJ23" i="6" s="1"/>
  <c r="S23" i="6"/>
  <c r="Q23" i="6"/>
  <c r="AC21" i="6"/>
  <c r="AV20" i="6"/>
  <c r="AW20" i="6" s="1"/>
  <c r="AX20" i="6" s="1"/>
  <c r="V23" i="6"/>
  <c r="W23" i="6" s="1"/>
  <c r="AY19" i="6"/>
  <c r="P24" i="6"/>
  <c r="H24" i="6"/>
  <c r="T24" i="6" s="1"/>
  <c r="C24" i="6"/>
  <c r="D24" i="6"/>
  <c r="G24" i="6"/>
  <c r="Y22" i="6"/>
  <c r="AA22" i="6" s="1"/>
  <c r="X22" i="6"/>
  <c r="Z22" i="6" s="1"/>
  <c r="I24" i="6"/>
  <c r="U24" i="6" s="1"/>
  <c r="R24" i="6"/>
  <c r="AB21" i="6"/>
  <c r="B25" i="6"/>
  <c r="E25" i="6" s="1"/>
  <c r="M25" i="6" a="1"/>
  <c r="M25" i="6" s="1"/>
  <c r="L25" i="6" a="1"/>
  <c r="L25" i="6" s="1"/>
  <c r="N25" i="6" a="1"/>
  <c r="N25" i="6" s="1"/>
  <c r="K25" i="6" a="1"/>
  <c r="K25" i="6" s="1"/>
  <c r="J25" i="6" a="1"/>
  <c r="J25" i="6" s="1"/>
  <c r="O25" i="6" a="1"/>
  <c r="O25" i="6" s="1"/>
  <c r="H26" i="12" a="1"/>
  <c r="H26" i="12" s="1"/>
  <c r="A26" i="6"/>
  <c r="AT22" i="6" l="1"/>
  <c r="AU22" i="6" s="1"/>
  <c r="AI20" i="6"/>
  <c r="AL20" i="6" s="1"/>
  <c r="AH21" i="6"/>
  <c r="AG21" i="6"/>
  <c r="AF22" i="6"/>
  <c r="AE22" i="6"/>
  <c r="AD22" i="6"/>
  <c r="AR23" i="6"/>
  <c r="AQ23" i="6"/>
  <c r="AS23" i="6"/>
  <c r="AM24" i="6"/>
  <c r="AP24" i="6"/>
  <c r="AJ24" i="6" s="1"/>
  <c r="Q24" i="6"/>
  <c r="R25" i="6"/>
  <c r="I25" i="6"/>
  <c r="U25" i="6" s="1"/>
  <c r="V24" i="6"/>
  <c r="W24" i="6" s="1"/>
  <c r="B26" i="6"/>
  <c r="E26" i="6" s="1"/>
  <c r="O26" i="6" a="1"/>
  <c r="O26" i="6" s="1"/>
  <c r="N26" i="6" a="1"/>
  <c r="N26" i="6" s="1"/>
  <c r="M26" i="6" a="1"/>
  <c r="M26" i="6" s="1"/>
  <c r="L26" i="6" a="1"/>
  <c r="L26" i="6" s="1"/>
  <c r="K26" i="6" a="1"/>
  <c r="K26" i="6" s="1"/>
  <c r="J26" i="6" a="1"/>
  <c r="J26" i="6" s="1"/>
  <c r="G25" i="6"/>
  <c r="C25" i="6"/>
  <c r="D25" i="6"/>
  <c r="H27" i="12" a="1"/>
  <c r="H27" i="12" s="1"/>
  <c r="A27" i="6"/>
  <c r="AV21" i="6"/>
  <c r="AW21" i="6" s="1"/>
  <c r="AX21" i="6" s="1"/>
  <c r="X23" i="6"/>
  <c r="Z23" i="6" s="1"/>
  <c r="Y23" i="6"/>
  <c r="AA23" i="6" s="1"/>
  <c r="H25" i="6"/>
  <c r="T25" i="6" s="1"/>
  <c r="P25" i="6"/>
  <c r="S24" i="6"/>
  <c r="AC22" i="6"/>
  <c r="AB22" i="6"/>
  <c r="AY20" i="6"/>
  <c r="AT23" i="6" l="1"/>
  <c r="AU23" i="6" s="1"/>
  <c r="AH22" i="6"/>
  <c r="AG22" i="6"/>
  <c r="AI21" i="6"/>
  <c r="AL21" i="6" s="1"/>
  <c r="AE23" i="6"/>
  <c r="AF23" i="6"/>
  <c r="V25" i="6"/>
  <c r="W25" i="6" s="1"/>
  <c r="X25" i="6" s="1"/>
  <c r="Z25" i="6" s="1"/>
  <c r="AD23" i="6"/>
  <c r="AS24" i="6"/>
  <c r="AR24" i="6"/>
  <c r="AQ24" i="6"/>
  <c r="AM25" i="6"/>
  <c r="AP25" i="6"/>
  <c r="AJ25" i="6" s="1"/>
  <c r="AB23" i="6"/>
  <c r="S25" i="6"/>
  <c r="B27" i="6"/>
  <c r="E27" i="6" s="1"/>
  <c r="J27" i="6" a="1"/>
  <c r="J27" i="6" s="1"/>
  <c r="O27" i="6" a="1"/>
  <c r="O27" i="6" s="1"/>
  <c r="N27" i="6" a="1"/>
  <c r="N27" i="6" s="1"/>
  <c r="K27" i="6" a="1"/>
  <c r="K27" i="6" s="1"/>
  <c r="M27" i="6" a="1"/>
  <c r="M27" i="6" s="1"/>
  <c r="L27" i="6" a="1"/>
  <c r="L27" i="6" s="1"/>
  <c r="R26" i="6"/>
  <c r="I26" i="6"/>
  <c r="U26" i="6" s="1"/>
  <c r="AC23" i="6"/>
  <c r="H28" i="12" a="1"/>
  <c r="H28" i="12" s="1"/>
  <c r="A28" i="6"/>
  <c r="AV22" i="6"/>
  <c r="AW22" i="6" s="1"/>
  <c r="AX22" i="6" s="1"/>
  <c r="D26" i="6"/>
  <c r="G26" i="6"/>
  <c r="C26" i="6"/>
  <c r="AY21" i="6"/>
  <c r="Q25" i="6"/>
  <c r="X24" i="6"/>
  <c r="Z24" i="6" s="1"/>
  <c r="Y24" i="6"/>
  <c r="AA24" i="6" s="1"/>
  <c r="H26" i="6"/>
  <c r="T26" i="6" s="1"/>
  <c r="P26" i="6"/>
  <c r="AT24" i="6" l="1"/>
  <c r="AU24" i="6" s="1"/>
  <c r="AI22" i="6"/>
  <c r="AL22" i="6" s="1"/>
  <c r="Y25" i="6"/>
  <c r="AA25" i="6" s="1"/>
  <c r="AC25" i="6" s="1"/>
  <c r="AH23" i="6"/>
  <c r="AG23" i="6"/>
  <c r="AD25" i="6"/>
  <c r="AF25" i="6"/>
  <c r="AE25" i="6"/>
  <c r="AF24" i="6"/>
  <c r="AE24" i="6"/>
  <c r="AD24" i="6"/>
  <c r="AP26" i="6"/>
  <c r="AJ26" i="6" s="1"/>
  <c r="AM26" i="6"/>
  <c r="AS25" i="6"/>
  <c r="AR25" i="6"/>
  <c r="AQ25" i="6"/>
  <c r="AT25" i="6" s="1"/>
  <c r="AU25" i="6" s="1"/>
  <c r="AV23" i="6"/>
  <c r="S26" i="6"/>
  <c r="AB24" i="6"/>
  <c r="V26" i="6"/>
  <c r="AY22" i="6"/>
  <c r="I27" i="6"/>
  <c r="U27" i="6" s="1"/>
  <c r="R27" i="6"/>
  <c r="AC24" i="6"/>
  <c r="B28" i="6"/>
  <c r="E28" i="6" s="1"/>
  <c r="K28" i="6" a="1"/>
  <c r="K28" i="6" s="1"/>
  <c r="L28" i="6" a="1"/>
  <c r="L28" i="6" s="1"/>
  <c r="M28" i="6" a="1"/>
  <c r="M28" i="6" s="1"/>
  <c r="J28" i="6" a="1"/>
  <c r="J28" i="6" s="1"/>
  <c r="O28" i="6" a="1"/>
  <c r="O28" i="6" s="1"/>
  <c r="N28" i="6" a="1"/>
  <c r="N28" i="6" s="1"/>
  <c r="H29" i="12" a="1"/>
  <c r="H29" i="12" s="1"/>
  <c r="A29" i="6"/>
  <c r="H27" i="6"/>
  <c r="T27" i="6" s="1"/>
  <c r="P27" i="6"/>
  <c r="D27" i="6"/>
  <c r="G27" i="6"/>
  <c r="C27" i="6"/>
  <c r="Q26" i="6"/>
  <c r="AB25" i="6"/>
  <c r="AH25" i="6" l="1"/>
  <c r="AG25" i="6"/>
  <c r="AI23" i="6"/>
  <c r="AL23" i="6" s="1"/>
  <c r="AH24" i="6"/>
  <c r="AG24" i="6"/>
  <c r="AW23" i="6"/>
  <c r="AY23" i="6" s="1"/>
  <c r="AP27" i="6"/>
  <c r="AJ27" i="6" s="1"/>
  <c r="AM27" i="6"/>
  <c r="AQ26" i="6"/>
  <c r="AS26" i="6"/>
  <c r="AR26" i="6"/>
  <c r="W26" i="6"/>
  <c r="Y26" i="6" s="1"/>
  <c r="AA26" i="6" s="1"/>
  <c r="AV24" i="6"/>
  <c r="Q27" i="6"/>
  <c r="V27" i="6"/>
  <c r="AV25" i="6"/>
  <c r="AW25" i="6" s="1"/>
  <c r="AX25" i="6" s="1"/>
  <c r="R28" i="6"/>
  <c r="I28" i="6"/>
  <c r="U28" i="6" s="1"/>
  <c r="B29" i="6"/>
  <c r="E29" i="6" s="1"/>
  <c r="L29" i="6" a="1"/>
  <c r="L29" i="6" s="1"/>
  <c r="N29" i="6" a="1"/>
  <c r="N29" i="6" s="1"/>
  <c r="K29" i="6" a="1"/>
  <c r="K29" i="6" s="1"/>
  <c r="J29" i="6" a="1"/>
  <c r="J29" i="6" s="1"/>
  <c r="M29" i="6" a="1"/>
  <c r="M29" i="6" s="1"/>
  <c r="O29" i="6" a="1"/>
  <c r="O29" i="6" s="1"/>
  <c r="C28" i="6"/>
  <c r="D28" i="6"/>
  <c r="G28" i="6"/>
  <c r="S27" i="6"/>
  <c r="H30" i="12" a="1"/>
  <c r="H30" i="12" s="1"/>
  <c r="A30" i="6"/>
  <c r="P28" i="6"/>
  <c r="H28" i="6"/>
  <c r="T28" i="6" s="1"/>
  <c r="AI25" i="6" l="1"/>
  <c r="AL25" i="6" s="1"/>
  <c r="AI24" i="6"/>
  <c r="AL24" i="6" s="1"/>
  <c r="AW24" i="6"/>
  <c r="AX23" i="6"/>
  <c r="AM28" i="6"/>
  <c r="AP28" i="6"/>
  <c r="AJ28" i="6" s="1"/>
  <c r="AQ27" i="6"/>
  <c r="AS27" i="6"/>
  <c r="AR27" i="6"/>
  <c r="V28" i="6"/>
  <c r="W28" i="6" s="1"/>
  <c r="Y28" i="6" s="1"/>
  <c r="AA28" i="6" s="1"/>
  <c r="X26" i="6"/>
  <c r="W27" i="6"/>
  <c r="Y27" i="6" s="1"/>
  <c r="AA27" i="6" s="1"/>
  <c r="S28" i="6"/>
  <c r="P29" i="6"/>
  <c r="H29" i="6"/>
  <c r="T29" i="6" s="1"/>
  <c r="AY25" i="6"/>
  <c r="H31" i="12" a="1"/>
  <c r="H31" i="12" s="1"/>
  <c r="A31" i="6"/>
  <c r="D29" i="6"/>
  <c r="G29" i="6"/>
  <c r="C29" i="6"/>
  <c r="B30" i="6"/>
  <c r="E30" i="6" s="1"/>
  <c r="L30" i="6" a="1"/>
  <c r="L30" i="6" s="1"/>
  <c r="K30" i="6" a="1"/>
  <c r="K30" i="6" s="1"/>
  <c r="N30" i="6" a="1"/>
  <c r="N30" i="6" s="1"/>
  <c r="O30" i="6" a="1"/>
  <c r="O30" i="6" s="1"/>
  <c r="M30" i="6" a="1"/>
  <c r="M30" i="6" s="1"/>
  <c r="J30" i="6" a="1"/>
  <c r="J30" i="6" s="1"/>
  <c r="Q28" i="6"/>
  <c r="R29" i="6"/>
  <c r="I29" i="6"/>
  <c r="U29" i="6" s="1"/>
  <c r="AX24" i="6" l="1"/>
  <c r="AY24" i="6"/>
  <c r="AM29" i="6"/>
  <c r="AP29" i="6"/>
  <c r="AJ29" i="6" s="1"/>
  <c r="AR28" i="6"/>
  <c r="AQ28" i="6"/>
  <c r="AS28" i="6"/>
  <c r="X28" i="6"/>
  <c r="Z28" i="6" s="1"/>
  <c r="X27" i="6"/>
  <c r="Z26" i="6"/>
  <c r="AT26" i="6" s="1"/>
  <c r="AU26" i="6" s="1"/>
  <c r="S29" i="6"/>
  <c r="Q29" i="6"/>
  <c r="R30" i="6"/>
  <c r="I30" i="6"/>
  <c r="U30" i="6" s="1"/>
  <c r="B31" i="6"/>
  <c r="E31" i="6" s="1"/>
  <c r="J31" i="6" a="1"/>
  <c r="J31" i="6" s="1"/>
  <c r="M31" i="6" a="1"/>
  <c r="M31" i="6" s="1"/>
  <c r="L31" i="6" a="1"/>
  <c r="L31" i="6" s="1"/>
  <c r="K31" i="6" a="1"/>
  <c r="K31" i="6" s="1"/>
  <c r="O31" i="6" a="1"/>
  <c r="O31" i="6" s="1"/>
  <c r="N31" i="6" a="1"/>
  <c r="N31" i="6" s="1"/>
  <c r="H32" i="12" a="1"/>
  <c r="H32" i="12" s="1"/>
  <c r="A32" i="6"/>
  <c r="C30" i="6"/>
  <c r="D30" i="6"/>
  <c r="G30" i="6"/>
  <c r="V29" i="6"/>
  <c r="W29" i="6" s="1"/>
  <c r="P30" i="6"/>
  <c r="H30" i="6"/>
  <c r="T30" i="6" s="1"/>
  <c r="AT28" i="6" l="1"/>
  <c r="AU28" i="6" s="1"/>
  <c r="AD28" i="6"/>
  <c r="AF28" i="6"/>
  <c r="AE28" i="6"/>
  <c r="AD26" i="6"/>
  <c r="AE26" i="6"/>
  <c r="AF26" i="6"/>
  <c r="AC28" i="6"/>
  <c r="AB26" i="6"/>
  <c r="AB28" i="6"/>
  <c r="AQ29" i="6"/>
  <c r="AS29" i="6"/>
  <c r="AR29" i="6"/>
  <c r="AM30" i="6"/>
  <c r="AP30" i="6"/>
  <c r="AJ30" i="6" s="1"/>
  <c r="AC26" i="6"/>
  <c r="Z27" i="6"/>
  <c r="AT27" i="6" s="1"/>
  <c r="AU27" i="6" s="1"/>
  <c r="V30" i="6"/>
  <c r="W30" i="6" s="1"/>
  <c r="X30" i="6" s="1"/>
  <c r="Z30" i="6" s="1"/>
  <c r="S30" i="6"/>
  <c r="Q30" i="6"/>
  <c r="B32" i="6"/>
  <c r="E32" i="6" s="1"/>
  <c r="O32" i="6" a="1"/>
  <c r="O32" i="6" s="1"/>
  <c r="N32" i="6" a="1"/>
  <c r="N32" i="6" s="1"/>
  <c r="M32" i="6" a="1"/>
  <c r="M32" i="6" s="1"/>
  <c r="K32" i="6" a="1"/>
  <c r="K32" i="6" s="1"/>
  <c r="L32" i="6" a="1"/>
  <c r="L32" i="6" s="1"/>
  <c r="J32" i="6" a="1"/>
  <c r="J32" i="6" s="1"/>
  <c r="C31" i="6"/>
  <c r="D31" i="6"/>
  <c r="G31" i="6"/>
  <c r="H33" i="12" a="1"/>
  <c r="H33" i="12" s="1"/>
  <c r="A33" i="6"/>
  <c r="X29" i="6"/>
  <c r="Z29" i="6" s="1"/>
  <c r="Y29" i="6"/>
  <c r="AA29" i="6" s="1"/>
  <c r="R31" i="6"/>
  <c r="I31" i="6"/>
  <c r="U31" i="6" s="1"/>
  <c r="P31" i="6"/>
  <c r="H31" i="6"/>
  <c r="T31" i="6" s="1"/>
  <c r="AT29" i="6" l="1"/>
  <c r="AU29" i="6" s="1"/>
  <c r="AH26" i="6"/>
  <c r="AG26" i="6"/>
  <c r="AH28" i="6"/>
  <c r="AG28" i="6"/>
  <c r="AF29" i="6"/>
  <c r="AE29" i="6"/>
  <c r="AD30" i="6"/>
  <c r="AF30" i="6"/>
  <c r="AE30" i="6"/>
  <c r="AD27" i="6"/>
  <c r="AE27" i="6"/>
  <c r="AF27" i="6"/>
  <c r="AV28" i="6"/>
  <c r="AW28" i="6" s="1"/>
  <c r="AX28" i="6" s="1"/>
  <c r="AD29" i="6"/>
  <c r="AC27" i="6"/>
  <c r="AQ30" i="6"/>
  <c r="AT30" i="6" s="1"/>
  <c r="AU30" i="6" s="1"/>
  <c r="AS30" i="6"/>
  <c r="AR30" i="6"/>
  <c r="AM31" i="6"/>
  <c r="AP31" i="6"/>
  <c r="AJ31" i="6" s="1"/>
  <c r="Y30" i="6"/>
  <c r="AB27" i="6"/>
  <c r="AV26" i="6"/>
  <c r="AW26" i="6" s="1"/>
  <c r="AX26" i="6" s="1"/>
  <c r="Q31" i="6"/>
  <c r="B33" i="6"/>
  <c r="E33" i="6" s="1"/>
  <c r="M33" i="6" a="1"/>
  <c r="M33" i="6" s="1"/>
  <c r="L33" i="6" a="1"/>
  <c r="L33" i="6" s="1"/>
  <c r="K33" i="6" a="1"/>
  <c r="K33" i="6" s="1"/>
  <c r="O33" i="6" a="1"/>
  <c r="O33" i="6" s="1"/>
  <c r="N33" i="6" a="1"/>
  <c r="N33" i="6" s="1"/>
  <c r="J33" i="6" a="1"/>
  <c r="J33" i="6" s="1"/>
  <c r="R32" i="6"/>
  <c r="I32" i="6"/>
  <c r="U32" i="6" s="1"/>
  <c r="S31" i="6"/>
  <c r="V31" i="6"/>
  <c r="W31" i="6" s="1"/>
  <c r="C32" i="6"/>
  <c r="D32" i="6"/>
  <c r="G32" i="6"/>
  <c r="H34" i="12" a="1"/>
  <c r="H34" i="12" s="1"/>
  <c r="A34" i="6"/>
  <c r="AB29" i="6"/>
  <c r="AC29" i="6"/>
  <c r="P32" i="6"/>
  <c r="H32" i="6"/>
  <c r="T32" i="6" s="1"/>
  <c r="AI26" i="6" l="1"/>
  <c r="AL26" i="6" s="1"/>
  <c r="AI28" i="6"/>
  <c r="AL28" i="6" s="1"/>
  <c r="AH27" i="6"/>
  <c r="AG27" i="6"/>
  <c r="AY28" i="6"/>
  <c r="AH30" i="6"/>
  <c r="AG30" i="6"/>
  <c r="AH29" i="6"/>
  <c r="AG29" i="6"/>
  <c r="AM32" i="6"/>
  <c r="AP32" i="6"/>
  <c r="AJ32" i="6" s="1"/>
  <c r="AR31" i="6"/>
  <c r="AQ31" i="6"/>
  <c r="AS31" i="6"/>
  <c r="AA30" i="6"/>
  <c r="AB30" i="6" s="1"/>
  <c r="AY26" i="6"/>
  <c r="AV27" i="6"/>
  <c r="AW27" i="6" s="1"/>
  <c r="AX27" i="6" s="1"/>
  <c r="V32" i="6"/>
  <c r="S32" i="6"/>
  <c r="H35" i="12" a="1"/>
  <c r="H35" i="12" s="1"/>
  <c r="A35" i="6"/>
  <c r="R33" i="6"/>
  <c r="I33" i="6"/>
  <c r="U33" i="6" s="1"/>
  <c r="B34" i="6"/>
  <c r="E34" i="6" s="1"/>
  <c r="K34" i="6" a="1"/>
  <c r="K34" i="6" s="1"/>
  <c r="O34" i="6" a="1"/>
  <c r="O34" i="6" s="1"/>
  <c r="J34" i="6" a="1"/>
  <c r="J34" i="6" s="1"/>
  <c r="N34" i="6" a="1"/>
  <c r="N34" i="6" s="1"/>
  <c r="L34" i="6" a="1"/>
  <c r="L34" i="6" s="1"/>
  <c r="M34" i="6" a="1"/>
  <c r="M34" i="6" s="1"/>
  <c r="X31" i="6"/>
  <c r="Z31" i="6" s="1"/>
  <c r="Y31" i="6"/>
  <c r="AA31" i="6" s="1"/>
  <c r="G33" i="6"/>
  <c r="C33" i="6"/>
  <c r="D33" i="6"/>
  <c r="Q32" i="6"/>
  <c r="AV29" i="6"/>
  <c r="AW29" i="6" s="1"/>
  <c r="AX29" i="6" s="1"/>
  <c r="H33" i="6"/>
  <c r="T33" i="6" s="1"/>
  <c r="P33" i="6"/>
  <c r="AI27" i="6" l="1"/>
  <c r="AL27" i="6" s="1"/>
  <c r="AI29" i="6"/>
  <c r="AL29" i="6" s="1"/>
  <c r="AI30" i="6"/>
  <c r="AL30" i="6" s="1"/>
  <c r="AT31" i="6"/>
  <c r="AU31" i="6" s="1"/>
  <c r="AE31" i="6"/>
  <c r="AF31" i="6"/>
  <c r="AD31" i="6"/>
  <c r="AM33" i="6"/>
  <c r="AP33" i="6"/>
  <c r="AJ33" i="6" s="1"/>
  <c r="AR32" i="6"/>
  <c r="AQ32" i="6"/>
  <c r="AS32" i="6"/>
  <c r="AC30" i="6"/>
  <c r="AY27" i="6"/>
  <c r="W32" i="6"/>
  <c r="Y32" i="6" s="1"/>
  <c r="AA32" i="6" s="1"/>
  <c r="V33" i="6"/>
  <c r="AB31" i="6"/>
  <c r="Q33" i="6"/>
  <c r="P34" i="6"/>
  <c r="H34" i="6"/>
  <c r="T34" i="6" s="1"/>
  <c r="AY29" i="6"/>
  <c r="AC31" i="6"/>
  <c r="D34" i="6"/>
  <c r="G34" i="6"/>
  <c r="C34" i="6"/>
  <c r="R34" i="6"/>
  <c r="I34" i="6"/>
  <c r="U34" i="6" s="1"/>
  <c r="S33" i="6"/>
  <c r="B35" i="6"/>
  <c r="E35" i="6" s="1"/>
  <c r="J35" i="6" a="1"/>
  <c r="J35" i="6" s="1"/>
  <c r="O35" i="6" a="1"/>
  <c r="O35" i="6" s="1"/>
  <c r="L35" i="6" a="1"/>
  <c r="L35" i="6" s="1"/>
  <c r="N35" i="6" a="1"/>
  <c r="N35" i="6" s="1"/>
  <c r="M35" i="6" a="1"/>
  <c r="M35" i="6" s="1"/>
  <c r="K35" i="6" a="1"/>
  <c r="K35" i="6" s="1"/>
  <c r="H36" i="12" a="1"/>
  <c r="H36" i="12" s="1"/>
  <c r="A36" i="6"/>
  <c r="AH31" i="6" l="1"/>
  <c r="AG31" i="6"/>
  <c r="AP34" i="6"/>
  <c r="AJ34" i="6" s="1"/>
  <c r="AM34" i="6"/>
  <c r="AR33" i="6"/>
  <c r="AQ33" i="6"/>
  <c r="AS33" i="6"/>
  <c r="AV30" i="6"/>
  <c r="AW30" i="6" s="1"/>
  <c r="AX30" i="6" s="1"/>
  <c r="X32" i="6"/>
  <c r="W33" i="6"/>
  <c r="Y33" i="6" s="1"/>
  <c r="AA33" i="6" s="1"/>
  <c r="Q34" i="6"/>
  <c r="P35" i="6"/>
  <c r="H35" i="6"/>
  <c r="T35" i="6" s="1"/>
  <c r="B36" i="6"/>
  <c r="E36" i="6" s="1"/>
  <c r="K36" i="6" a="1"/>
  <c r="K36" i="6" s="1"/>
  <c r="J36" i="6" a="1"/>
  <c r="J36" i="6" s="1"/>
  <c r="L36" i="6" a="1"/>
  <c r="L36" i="6" s="1"/>
  <c r="N36" i="6" a="1"/>
  <c r="N36" i="6" s="1"/>
  <c r="O36" i="6" a="1"/>
  <c r="O36" i="6" s="1"/>
  <c r="M36" i="6" a="1"/>
  <c r="M36" i="6" s="1"/>
  <c r="D35" i="6"/>
  <c r="G35" i="6"/>
  <c r="C35" i="6"/>
  <c r="H37" i="12" a="1"/>
  <c r="H37" i="12" s="1"/>
  <c r="A37" i="6"/>
  <c r="AV31" i="6"/>
  <c r="AW31" i="6" s="1"/>
  <c r="AX31" i="6" s="1"/>
  <c r="I35" i="6"/>
  <c r="U35" i="6" s="1"/>
  <c r="R35" i="6"/>
  <c r="S34" i="6"/>
  <c r="V34" i="6"/>
  <c r="W34" i="6" s="1"/>
  <c r="AI31" i="6" l="1"/>
  <c r="AL31" i="6" s="1"/>
  <c r="AP35" i="6"/>
  <c r="AJ35" i="6" s="1"/>
  <c r="AM35" i="6"/>
  <c r="AS34" i="6"/>
  <c r="AQ34" i="6"/>
  <c r="AR34" i="6"/>
  <c r="AY30" i="6"/>
  <c r="X33" i="6"/>
  <c r="Z32" i="6"/>
  <c r="AT32" i="6" s="1"/>
  <c r="AU32" i="6" s="1"/>
  <c r="S35" i="6"/>
  <c r="B37" i="6"/>
  <c r="E37" i="6" s="1"/>
  <c r="M37" i="6" a="1"/>
  <c r="M37" i="6" s="1"/>
  <c r="L37" i="6" a="1"/>
  <c r="L37" i="6" s="1"/>
  <c r="N37" i="6" a="1"/>
  <c r="N37" i="6" s="1"/>
  <c r="K37" i="6" a="1"/>
  <c r="K37" i="6" s="1"/>
  <c r="J37" i="6" a="1"/>
  <c r="J37" i="6" s="1"/>
  <c r="O37" i="6" a="1"/>
  <c r="O37" i="6" s="1"/>
  <c r="P36" i="6"/>
  <c r="H36" i="6"/>
  <c r="T36" i="6" s="1"/>
  <c r="H38" i="12" a="1"/>
  <c r="H38" i="12" s="1"/>
  <c r="A38" i="6"/>
  <c r="X34" i="6"/>
  <c r="Z34" i="6" s="1"/>
  <c r="Y34" i="6"/>
  <c r="AA34" i="6" s="1"/>
  <c r="C36" i="6"/>
  <c r="D36" i="6"/>
  <c r="G36" i="6"/>
  <c r="AY31" i="6"/>
  <c r="V35" i="6"/>
  <c r="W35" i="6" s="1"/>
  <c r="R36" i="6"/>
  <c r="I36" i="6"/>
  <c r="U36" i="6" s="1"/>
  <c r="Q35" i="6"/>
  <c r="AT34" i="6" l="1"/>
  <c r="AU34" i="6" s="1"/>
  <c r="AE34" i="6"/>
  <c r="AF34" i="6"/>
  <c r="AD32" i="6"/>
  <c r="AF32" i="6"/>
  <c r="AE32" i="6"/>
  <c r="AD34" i="6"/>
  <c r="AB32" i="6"/>
  <c r="AM36" i="6"/>
  <c r="AP36" i="6"/>
  <c r="AJ36" i="6" s="1"/>
  <c r="AQ35" i="6"/>
  <c r="AS35" i="6"/>
  <c r="AR35" i="6"/>
  <c r="AC32" i="6"/>
  <c r="Z33" i="6"/>
  <c r="AT33" i="6" s="1"/>
  <c r="AU33" i="6" s="1"/>
  <c r="AC34" i="6"/>
  <c r="AB34" i="6"/>
  <c r="Y35" i="6"/>
  <c r="AA35" i="6" s="1"/>
  <c r="X35" i="6"/>
  <c r="Z35" i="6" s="1"/>
  <c r="B38" i="6"/>
  <c r="E38" i="6" s="1"/>
  <c r="O38" i="6" a="1"/>
  <c r="O38" i="6" s="1"/>
  <c r="M38" i="6" a="1"/>
  <c r="M38" i="6" s="1"/>
  <c r="L38" i="6" a="1"/>
  <c r="L38" i="6" s="1"/>
  <c r="J38" i="6" a="1"/>
  <c r="J38" i="6" s="1"/>
  <c r="N38" i="6" a="1"/>
  <c r="N38" i="6" s="1"/>
  <c r="K38" i="6" a="1"/>
  <c r="K38" i="6" s="1"/>
  <c r="R37" i="6"/>
  <c r="I37" i="6"/>
  <c r="U37" i="6" s="1"/>
  <c r="V36" i="6"/>
  <c r="W36" i="6" s="1"/>
  <c r="C37" i="6"/>
  <c r="D37" i="6"/>
  <c r="G37" i="6"/>
  <c r="H39" i="12" a="1"/>
  <c r="H39" i="12" s="1"/>
  <c r="A39" i="6"/>
  <c r="S36" i="6"/>
  <c r="Q36" i="6"/>
  <c r="P37" i="6"/>
  <c r="H37" i="6"/>
  <c r="T37" i="6" s="1"/>
  <c r="AH34" i="6" l="1"/>
  <c r="AG34" i="6"/>
  <c r="AT35" i="6"/>
  <c r="AU35" i="6" s="1"/>
  <c r="AH32" i="6"/>
  <c r="AG32" i="6"/>
  <c r="AD35" i="6"/>
  <c r="AE35" i="6"/>
  <c r="AF35" i="6"/>
  <c r="AD33" i="6"/>
  <c r="AF33" i="6"/>
  <c r="AE33" i="6"/>
  <c r="AB33" i="6"/>
  <c r="AM37" i="6"/>
  <c r="AP37" i="6"/>
  <c r="AJ37" i="6" s="1"/>
  <c r="AR36" i="6"/>
  <c r="AQ36" i="6"/>
  <c r="AS36" i="6"/>
  <c r="AC33" i="6"/>
  <c r="AV32" i="6"/>
  <c r="AW32" i="6" s="1"/>
  <c r="AX32" i="6" s="1"/>
  <c r="H40" i="12" a="1"/>
  <c r="H40" i="12" s="1"/>
  <c r="A40" i="6"/>
  <c r="V37" i="6"/>
  <c r="W37" i="6" s="1"/>
  <c r="Q37" i="6"/>
  <c r="C38" i="6"/>
  <c r="D38" i="6"/>
  <c r="G38" i="6"/>
  <c r="AC35" i="6"/>
  <c r="AB35" i="6"/>
  <c r="Y36" i="6"/>
  <c r="AA36" i="6" s="1"/>
  <c r="X36" i="6"/>
  <c r="Z36" i="6" s="1"/>
  <c r="AV34" i="6"/>
  <c r="AW34" i="6" s="1"/>
  <c r="AX34" i="6" s="1"/>
  <c r="P38" i="6"/>
  <c r="H38" i="6"/>
  <c r="T38" i="6" s="1"/>
  <c r="B39" i="6"/>
  <c r="E39" i="6" s="1"/>
  <c r="J39" i="6" a="1"/>
  <c r="J39" i="6" s="1"/>
  <c r="O39" i="6" a="1"/>
  <c r="O39" i="6" s="1"/>
  <c r="N39" i="6" a="1"/>
  <c r="N39" i="6" s="1"/>
  <c r="K39" i="6" a="1"/>
  <c r="K39" i="6" s="1"/>
  <c r="L39" i="6" a="1"/>
  <c r="L39" i="6" s="1"/>
  <c r="M39" i="6" a="1"/>
  <c r="M39" i="6" s="1"/>
  <c r="S37" i="6"/>
  <c r="R38" i="6"/>
  <c r="I38" i="6"/>
  <c r="U38" i="6" s="1"/>
  <c r="AT36" i="6" l="1"/>
  <c r="AU36" i="6" s="1"/>
  <c r="AI32" i="6"/>
  <c r="AL32" i="6" s="1"/>
  <c r="AH35" i="6"/>
  <c r="AG35" i="6"/>
  <c r="AH33" i="6"/>
  <c r="AG33" i="6"/>
  <c r="AI34" i="6"/>
  <c r="AL34" i="6" s="1"/>
  <c r="AF36" i="6"/>
  <c r="AE36" i="6"/>
  <c r="AD36" i="6"/>
  <c r="AV33" i="6"/>
  <c r="AM38" i="6"/>
  <c r="AP38" i="6"/>
  <c r="AJ38" i="6" s="1"/>
  <c r="AQ37" i="6"/>
  <c r="AS37" i="6"/>
  <c r="AR37" i="6"/>
  <c r="AY32" i="6"/>
  <c r="Q38" i="6"/>
  <c r="AY34" i="6"/>
  <c r="P39" i="6"/>
  <c r="H39" i="6"/>
  <c r="T39" i="6" s="1"/>
  <c r="AB36" i="6"/>
  <c r="AC36" i="6"/>
  <c r="S38" i="6"/>
  <c r="C39" i="6"/>
  <c r="D39" i="6"/>
  <c r="G39" i="6"/>
  <c r="R39" i="6"/>
  <c r="I39" i="6"/>
  <c r="U39" i="6" s="1"/>
  <c r="AV35" i="6"/>
  <c r="AW35" i="6" s="1"/>
  <c r="AX35" i="6" s="1"/>
  <c r="V38" i="6"/>
  <c r="W38" i="6" s="1"/>
  <c r="Y37" i="6"/>
  <c r="AA37" i="6" s="1"/>
  <c r="X37" i="6"/>
  <c r="Z37" i="6" s="1"/>
  <c r="B40" i="6"/>
  <c r="E40" i="6" s="1"/>
  <c r="J40" i="6" a="1"/>
  <c r="J40" i="6" s="1"/>
  <c r="L40" i="6" a="1"/>
  <c r="L40" i="6" s="1"/>
  <c r="O40" i="6" a="1"/>
  <c r="O40" i="6" s="1"/>
  <c r="K40" i="6" a="1"/>
  <c r="K40" i="6" s="1"/>
  <c r="M40" i="6" a="1"/>
  <c r="M40" i="6" s="1"/>
  <c r="N40" i="6" a="1"/>
  <c r="N40" i="6" s="1"/>
  <c r="H41" i="12" a="1"/>
  <c r="H41" i="12" s="1"/>
  <c r="A41" i="6"/>
  <c r="AI33" i="6" l="1"/>
  <c r="AL33" i="6" s="1"/>
  <c r="AI35" i="6"/>
  <c r="AL35" i="6" s="1"/>
  <c r="AT37" i="6"/>
  <c r="AU37" i="6" s="1"/>
  <c r="AW33" i="6"/>
  <c r="AY33" i="6" s="1"/>
  <c r="AH36" i="6"/>
  <c r="AG36" i="6"/>
  <c r="AF37" i="6"/>
  <c r="AE37" i="6"/>
  <c r="AD37" i="6"/>
  <c r="AM39" i="6"/>
  <c r="AP39" i="6"/>
  <c r="AJ39" i="6" s="1"/>
  <c r="AQ38" i="6"/>
  <c r="AS38" i="6"/>
  <c r="AR38" i="6"/>
  <c r="H40" i="6"/>
  <c r="T40" i="6" s="1"/>
  <c r="P40" i="6"/>
  <c r="AY35" i="6"/>
  <c r="X38" i="6"/>
  <c r="Z38" i="6" s="1"/>
  <c r="Y38" i="6"/>
  <c r="AA38" i="6" s="1"/>
  <c r="B41" i="6"/>
  <c r="E41" i="6" s="1"/>
  <c r="N41" i="6" a="1"/>
  <c r="N41" i="6" s="1"/>
  <c r="J41" i="6" a="1"/>
  <c r="J41" i="6" s="1"/>
  <c r="L41" i="6" a="1"/>
  <c r="L41" i="6" s="1"/>
  <c r="O41" i="6" a="1"/>
  <c r="O41" i="6" s="1"/>
  <c r="K41" i="6" a="1"/>
  <c r="K41" i="6" s="1"/>
  <c r="M41" i="6" a="1"/>
  <c r="M41" i="6" s="1"/>
  <c r="C40" i="6"/>
  <c r="D40" i="6"/>
  <c r="G40" i="6"/>
  <c r="H42" i="12" a="1"/>
  <c r="H42" i="12" s="1"/>
  <c r="A42" i="6"/>
  <c r="AC37" i="6"/>
  <c r="AB37" i="6"/>
  <c r="V39" i="6"/>
  <c r="W39" i="6" s="1"/>
  <c r="R40" i="6"/>
  <c r="I40" i="6"/>
  <c r="U40" i="6" s="1"/>
  <c r="S39" i="6"/>
  <c r="Q39" i="6"/>
  <c r="AV36" i="6"/>
  <c r="AW36" i="6" s="1"/>
  <c r="AX36" i="6" s="1"/>
  <c r="AI36" i="6" l="1"/>
  <c r="AL36" i="6" s="1"/>
  <c r="AT38" i="6"/>
  <c r="AU38" i="6" s="1"/>
  <c r="AX33" i="6"/>
  <c r="AH37" i="6"/>
  <c r="AG37" i="6"/>
  <c r="AF38" i="6"/>
  <c r="AE38" i="6"/>
  <c r="AD38" i="6"/>
  <c r="AM40" i="6"/>
  <c r="AP40" i="6"/>
  <c r="AJ40" i="6" s="1"/>
  <c r="AS39" i="6"/>
  <c r="AQ39" i="6"/>
  <c r="AR39" i="6"/>
  <c r="AB38" i="6"/>
  <c r="Q40" i="6"/>
  <c r="V40" i="6"/>
  <c r="W40" i="6" s="1"/>
  <c r="Y40" i="6" s="1"/>
  <c r="AA40" i="6" s="1"/>
  <c r="AY36" i="6"/>
  <c r="AV37" i="6"/>
  <c r="AW37" i="6" s="1"/>
  <c r="AX37" i="6" s="1"/>
  <c r="G41" i="6"/>
  <c r="C41" i="6"/>
  <c r="D41" i="6"/>
  <c r="S40" i="6"/>
  <c r="B42" i="6"/>
  <c r="E42" i="6" s="1"/>
  <c r="K42" i="6" a="1"/>
  <c r="K42" i="6" s="1"/>
  <c r="O42" i="6" a="1"/>
  <c r="O42" i="6" s="1"/>
  <c r="J42" i="6" a="1"/>
  <c r="J42" i="6" s="1"/>
  <c r="N42" i="6" a="1"/>
  <c r="N42" i="6" s="1"/>
  <c r="M42" i="6" a="1"/>
  <c r="M42" i="6" s="1"/>
  <c r="L42" i="6" a="1"/>
  <c r="L42" i="6" s="1"/>
  <c r="R41" i="6"/>
  <c r="I41" i="6"/>
  <c r="U41" i="6" s="1"/>
  <c r="AC38" i="6"/>
  <c r="Y39" i="6"/>
  <c r="AA39" i="6" s="1"/>
  <c r="X39" i="6"/>
  <c r="Z39" i="6" s="1"/>
  <c r="H41" i="6"/>
  <c r="T41" i="6" s="1"/>
  <c r="P41" i="6"/>
  <c r="H43" i="12" a="1"/>
  <c r="H43" i="12" s="1"/>
  <c r="A43" i="6"/>
  <c r="AT39" i="6" l="1"/>
  <c r="AU39" i="6" s="1"/>
  <c r="AI37" i="6"/>
  <c r="AL37" i="6" s="1"/>
  <c r="AG38" i="6"/>
  <c r="AH38" i="6"/>
  <c r="X40" i="6"/>
  <c r="Z40" i="6" s="1"/>
  <c r="AC40" i="6" s="1"/>
  <c r="AF39" i="6"/>
  <c r="AE39" i="6"/>
  <c r="AD39" i="6"/>
  <c r="AM41" i="6"/>
  <c r="AP41" i="6"/>
  <c r="AJ41" i="6" s="1"/>
  <c r="AR40" i="6"/>
  <c r="AQ40" i="6"/>
  <c r="AS40" i="6"/>
  <c r="AV38" i="6"/>
  <c r="Q41" i="6"/>
  <c r="V41" i="6"/>
  <c r="B43" i="6"/>
  <c r="E43" i="6" s="1"/>
  <c r="M43" i="6" a="1"/>
  <c r="M43" i="6" s="1"/>
  <c r="L43" i="6" a="1"/>
  <c r="L43" i="6" s="1"/>
  <c r="K43" i="6" a="1"/>
  <c r="K43" i="6" s="1"/>
  <c r="J43" i="6" a="1"/>
  <c r="J43" i="6" s="1"/>
  <c r="O43" i="6" a="1"/>
  <c r="O43" i="6" s="1"/>
  <c r="N43" i="6" a="1"/>
  <c r="N43" i="6" s="1"/>
  <c r="R42" i="6"/>
  <c r="I42" i="6"/>
  <c r="U42" i="6" s="1"/>
  <c r="H44" i="12" a="1"/>
  <c r="H44" i="12" s="1"/>
  <c r="A44" i="6"/>
  <c r="AY37" i="6"/>
  <c r="H42" i="6"/>
  <c r="T42" i="6" s="1"/>
  <c r="P42" i="6"/>
  <c r="S41" i="6"/>
  <c r="AB39" i="6"/>
  <c r="AC39" i="6"/>
  <c r="D42" i="6"/>
  <c r="G42" i="6"/>
  <c r="C42" i="6"/>
  <c r="AB40" i="6" l="1"/>
  <c r="AV40" i="6" s="1"/>
  <c r="AW40" i="6" s="1"/>
  <c r="AX40" i="6" s="1"/>
  <c r="AI38" i="6"/>
  <c r="AL38" i="6" s="1"/>
  <c r="AF40" i="6"/>
  <c r="AT40" i="6"/>
  <c r="AU40" i="6" s="1"/>
  <c r="AG39" i="6"/>
  <c r="AH39" i="6"/>
  <c r="AW38" i="6"/>
  <c r="AY38" i="6" s="1"/>
  <c r="AD40" i="6"/>
  <c r="AE40" i="6"/>
  <c r="AP42" i="6"/>
  <c r="AJ42" i="6" s="1"/>
  <c r="AM42" i="6"/>
  <c r="AR41" i="6"/>
  <c r="AQ41" i="6"/>
  <c r="AS41" i="6"/>
  <c r="W41" i="6"/>
  <c r="X41" i="6" s="1"/>
  <c r="Z41" i="6" s="1"/>
  <c r="Q42" i="6"/>
  <c r="H43" i="6"/>
  <c r="T43" i="6" s="1"/>
  <c r="P43" i="6"/>
  <c r="V42" i="6"/>
  <c r="W42" i="6" s="1"/>
  <c r="I43" i="6"/>
  <c r="U43" i="6" s="1"/>
  <c r="R43" i="6"/>
  <c r="AV39" i="6"/>
  <c r="AW39" i="6" s="1"/>
  <c r="AX39" i="6" s="1"/>
  <c r="S42" i="6"/>
  <c r="B44" i="6"/>
  <c r="E44" i="6" s="1"/>
  <c r="O44" i="6" a="1"/>
  <c r="O44" i="6" s="1"/>
  <c r="N44" i="6" a="1"/>
  <c r="N44" i="6" s="1"/>
  <c r="M44" i="6" a="1"/>
  <c r="M44" i="6" s="1"/>
  <c r="K44" i="6" a="1"/>
  <c r="K44" i="6" s="1"/>
  <c r="J44" i="6" a="1"/>
  <c r="J44" i="6" s="1"/>
  <c r="L44" i="6" a="1"/>
  <c r="L44" i="6" s="1"/>
  <c r="D43" i="6"/>
  <c r="G43" i="6"/>
  <c r="C43" i="6"/>
  <c r="H45" i="12" a="1"/>
  <c r="H45" i="12" s="1"/>
  <c r="A45" i="6"/>
  <c r="AT41" i="6" l="1"/>
  <c r="AU41" i="6" s="1"/>
  <c r="AI39" i="6"/>
  <c r="AL39" i="6" s="1"/>
  <c r="AH40" i="6"/>
  <c r="AG40" i="6"/>
  <c r="AX38" i="6"/>
  <c r="AF41" i="6"/>
  <c r="AE41" i="6"/>
  <c r="AD41" i="6"/>
  <c r="AP43" i="6"/>
  <c r="AJ43" i="6" s="1"/>
  <c r="AM43" i="6"/>
  <c r="AR42" i="6"/>
  <c r="AS42" i="6"/>
  <c r="AQ42" i="6"/>
  <c r="Y41" i="6"/>
  <c r="Q43" i="6"/>
  <c r="X42" i="6"/>
  <c r="Z42" i="6" s="1"/>
  <c r="Y42" i="6"/>
  <c r="AA42" i="6" s="1"/>
  <c r="H46" i="12" a="1"/>
  <c r="H46" i="12" s="1"/>
  <c r="A46" i="6"/>
  <c r="C44" i="6"/>
  <c r="D44" i="6"/>
  <c r="G44" i="6"/>
  <c r="B45" i="6"/>
  <c r="E45" i="6" s="1"/>
  <c r="M45" i="6" a="1"/>
  <c r="M45" i="6" s="1"/>
  <c r="L45" i="6" a="1"/>
  <c r="L45" i="6" s="1"/>
  <c r="N45" i="6" a="1"/>
  <c r="N45" i="6" s="1"/>
  <c r="J45" i="6" a="1"/>
  <c r="J45" i="6" s="1"/>
  <c r="K45" i="6" a="1"/>
  <c r="K45" i="6" s="1"/>
  <c r="O45" i="6" a="1"/>
  <c r="O45" i="6" s="1"/>
  <c r="AY39" i="6"/>
  <c r="P44" i="6"/>
  <c r="H44" i="6"/>
  <c r="T44" i="6" s="1"/>
  <c r="AY40" i="6"/>
  <c r="S43" i="6"/>
  <c r="V43" i="6"/>
  <c r="W43" i="6" s="1"/>
  <c r="I44" i="6"/>
  <c r="U44" i="6" s="1"/>
  <c r="R44" i="6"/>
  <c r="AI40" i="6" l="1"/>
  <c r="AL40" i="6" s="1"/>
  <c r="AH41" i="6"/>
  <c r="AG41" i="6"/>
  <c r="AT42" i="6"/>
  <c r="AU42" i="6" s="1"/>
  <c r="AE42" i="6"/>
  <c r="AF42" i="6"/>
  <c r="AD42" i="6"/>
  <c r="AM44" i="6"/>
  <c r="AP44" i="6"/>
  <c r="AJ44" i="6" s="1"/>
  <c r="AQ43" i="6"/>
  <c r="AS43" i="6"/>
  <c r="AR43" i="6"/>
  <c r="AA41" i="6"/>
  <c r="AB41" i="6" s="1"/>
  <c r="S44" i="6"/>
  <c r="AC42" i="6"/>
  <c r="I45" i="6"/>
  <c r="U45" i="6" s="1"/>
  <c r="R45" i="6"/>
  <c r="Y43" i="6"/>
  <c r="AA43" i="6" s="1"/>
  <c r="X43" i="6"/>
  <c r="Z43" i="6" s="1"/>
  <c r="C45" i="6"/>
  <c r="D45" i="6"/>
  <c r="G45" i="6"/>
  <c r="P45" i="6"/>
  <c r="H45" i="6"/>
  <c r="T45" i="6" s="1"/>
  <c r="B46" i="6"/>
  <c r="E46" i="6" s="1"/>
  <c r="O46" i="6" a="1"/>
  <c r="O46" i="6" s="1"/>
  <c r="J46" i="6" a="1"/>
  <c r="J46" i="6" s="1"/>
  <c r="N46" i="6" a="1"/>
  <c r="N46" i="6" s="1"/>
  <c r="M46" i="6" a="1"/>
  <c r="M46" i="6" s="1"/>
  <c r="L46" i="6" a="1"/>
  <c r="L46" i="6" s="1"/>
  <c r="K46" i="6" a="1"/>
  <c r="K46" i="6" s="1"/>
  <c r="H47" i="12" a="1"/>
  <c r="H47" i="12" s="1"/>
  <c r="A47" i="6"/>
  <c r="AB42" i="6"/>
  <c r="V44" i="6"/>
  <c r="W44" i="6" s="1"/>
  <c r="Q44" i="6"/>
  <c r="AT43" i="6" l="1"/>
  <c r="AU43" i="6" s="1"/>
  <c r="AH42" i="6"/>
  <c r="AG42" i="6"/>
  <c r="AI41" i="6"/>
  <c r="AL41" i="6" s="1"/>
  <c r="AE43" i="6"/>
  <c r="AF43" i="6"/>
  <c r="AD43" i="6"/>
  <c r="AM45" i="6"/>
  <c r="AP45" i="6"/>
  <c r="AJ45" i="6" s="1"/>
  <c r="AR44" i="6"/>
  <c r="AQ44" i="6"/>
  <c r="AS44" i="6"/>
  <c r="AC41" i="6"/>
  <c r="AV42" i="6"/>
  <c r="S45" i="6"/>
  <c r="V45" i="6"/>
  <c r="Q45" i="6"/>
  <c r="AB43" i="6"/>
  <c r="AC43" i="6"/>
  <c r="R46" i="6"/>
  <c r="I46" i="6"/>
  <c r="U46" i="6" s="1"/>
  <c r="H46" i="6"/>
  <c r="T46" i="6" s="1"/>
  <c r="P46" i="6"/>
  <c r="Y44" i="6"/>
  <c r="AA44" i="6" s="1"/>
  <c r="X44" i="6"/>
  <c r="Z44" i="6" s="1"/>
  <c r="B47" i="6"/>
  <c r="E47" i="6" s="1"/>
  <c r="J47" i="6" a="1"/>
  <c r="J47" i="6" s="1"/>
  <c r="O47" i="6" a="1"/>
  <c r="O47" i="6" s="1"/>
  <c r="N47" i="6" a="1"/>
  <c r="N47" i="6" s="1"/>
  <c r="M47" i="6" a="1"/>
  <c r="M47" i="6" s="1"/>
  <c r="L47" i="6" a="1"/>
  <c r="L47" i="6" s="1"/>
  <c r="K47" i="6" a="1"/>
  <c r="K47" i="6" s="1"/>
  <c r="C46" i="6"/>
  <c r="D46" i="6"/>
  <c r="G46" i="6"/>
  <c r="H48" i="12" a="1"/>
  <c r="H48" i="12" s="1"/>
  <c r="A48" i="6"/>
  <c r="AI42" i="6" l="1"/>
  <c r="AL42" i="6" s="1"/>
  <c r="AW42" i="6"/>
  <c r="AH43" i="6"/>
  <c r="AG43" i="6"/>
  <c r="AT44" i="6"/>
  <c r="AU44" i="6" s="1"/>
  <c r="AF44" i="6"/>
  <c r="AE44" i="6"/>
  <c r="AD44" i="6"/>
  <c r="AM46" i="6"/>
  <c r="AP46" i="6"/>
  <c r="AJ46" i="6" s="1"/>
  <c r="AS45" i="6"/>
  <c r="AQ45" i="6"/>
  <c r="AR45" i="6"/>
  <c r="AV41" i="6"/>
  <c r="W45" i="6"/>
  <c r="Y45" i="6" s="1"/>
  <c r="AA45" i="6" s="1"/>
  <c r="V46" i="6"/>
  <c r="S46" i="6"/>
  <c r="I47" i="6"/>
  <c r="U47" i="6" s="1"/>
  <c r="R47" i="6"/>
  <c r="AC44" i="6"/>
  <c r="AB44" i="6"/>
  <c r="H47" i="6"/>
  <c r="T47" i="6" s="1"/>
  <c r="P47" i="6"/>
  <c r="H49" i="12" a="1"/>
  <c r="H49" i="12" s="1"/>
  <c r="A49" i="6"/>
  <c r="C47" i="6"/>
  <c r="D47" i="6"/>
  <c r="G47" i="6"/>
  <c r="Q46" i="6"/>
  <c r="AV43" i="6"/>
  <c r="AW43" i="6" s="1"/>
  <c r="AX43" i="6" s="1"/>
  <c r="B48" i="6"/>
  <c r="E48" i="6" s="1"/>
  <c r="K48" i="6" a="1"/>
  <c r="K48" i="6" s="1"/>
  <c r="J48" i="6" a="1"/>
  <c r="J48" i="6" s="1"/>
  <c r="L48" i="6" a="1"/>
  <c r="L48" i="6" s="1"/>
  <c r="N48" i="6" a="1"/>
  <c r="N48" i="6" s="1"/>
  <c r="M48" i="6" a="1"/>
  <c r="M48" i="6" s="1"/>
  <c r="O48" i="6" a="1"/>
  <c r="O48" i="6" s="1"/>
  <c r="AI43" i="6" l="1"/>
  <c r="AL43" i="6" s="1"/>
  <c r="AH44" i="6"/>
  <c r="AG44" i="6"/>
  <c r="AX42" i="6"/>
  <c r="AW41" i="6"/>
  <c r="AY42" i="6"/>
  <c r="AS46" i="6"/>
  <c r="AQ46" i="6"/>
  <c r="AR46" i="6"/>
  <c r="AM47" i="6"/>
  <c r="AP47" i="6"/>
  <c r="AJ47" i="6" s="1"/>
  <c r="W46" i="6"/>
  <c r="X46" i="6" s="1"/>
  <c r="Z46" i="6" s="1"/>
  <c r="X45" i="6"/>
  <c r="Z45" i="6" s="1"/>
  <c r="AT45" i="6" s="1"/>
  <c r="AU45" i="6" s="1"/>
  <c r="Q47" i="6"/>
  <c r="S47" i="6"/>
  <c r="H48" i="6"/>
  <c r="T48" i="6" s="1"/>
  <c r="P48" i="6"/>
  <c r="H50" i="12" a="1"/>
  <c r="H50" i="12" s="1"/>
  <c r="A50" i="6"/>
  <c r="AV44" i="6"/>
  <c r="AW44" i="6" s="1"/>
  <c r="AX44" i="6" s="1"/>
  <c r="C48" i="6"/>
  <c r="D48" i="6"/>
  <c r="G48" i="6"/>
  <c r="B49" i="6"/>
  <c r="E49" i="6" s="1"/>
  <c r="M49" i="6" a="1"/>
  <c r="M49" i="6" s="1"/>
  <c r="N49" i="6" a="1"/>
  <c r="N49" i="6" s="1"/>
  <c r="K49" i="6" a="1"/>
  <c r="K49" i="6" s="1"/>
  <c r="J49" i="6" a="1"/>
  <c r="J49" i="6" s="1"/>
  <c r="L49" i="6" a="1"/>
  <c r="L49" i="6" s="1"/>
  <c r="O49" i="6" a="1"/>
  <c r="O49" i="6" s="1"/>
  <c r="I48" i="6"/>
  <c r="U48" i="6" s="1"/>
  <c r="R48" i="6"/>
  <c r="V47" i="6"/>
  <c r="W47" i="6" s="1"/>
  <c r="AY43" i="6"/>
  <c r="AT46" i="6" l="1"/>
  <c r="AU46" i="6" s="1"/>
  <c r="AI44" i="6"/>
  <c r="AL44" i="6" s="1"/>
  <c r="AX41" i="6"/>
  <c r="AY41" i="6"/>
  <c r="AF45" i="6"/>
  <c r="AE45" i="6"/>
  <c r="AF46" i="6"/>
  <c r="AE46" i="6"/>
  <c r="AD46" i="6"/>
  <c r="AD45" i="6"/>
  <c r="AS47" i="6"/>
  <c r="AQ47" i="6"/>
  <c r="AR47" i="6"/>
  <c r="AM48" i="6"/>
  <c r="AP48" i="6"/>
  <c r="AJ48" i="6" s="1"/>
  <c r="Y46" i="6"/>
  <c r="AB45" i="6"/>
  <c r="AC45" i="6"/>
  <c r="B50" i="6"/>
  <c r="E50" i="6" s="1"/>
  <c r="N50" i="6" a="1"/>
  <c r="N50" i="6" s="1"/>
  <c r="M50" i="6" a="1"/>
  <c r="M50" i="6" s="1"/>
  <c r="L50" i="6" a="1"/>
  <c r="L50" i="6" s="1"/>
  <c r="O50" i="6" a="1"/>
  <c r="O50" i="6" s="1"/>
  <c r="K50" i="6" a="1"/>
  <c r="K50" i="6" s="1"/>
  <c r="J50" i="6" a="1"/>
  <c r="J50" i="6" s="1"/>
  <c r="H51" i="12" a="1"/>
  <c r="H51" i="12" s="1"/>
  <c r="A51" i="6"/>
  <c r="H49" i="6"/>
  <c r="T49" i="6" s="1"/>
  <c r="P49" i="6"/>
  <c r="Y47" i="6"/>
  <c r="AA47" i="6" s="1"/>
  <c r="X47" i="6"/>
  <c r="Z47" i="6" s="1"/>
  <c r="I49" i="6"/>
  <c r="U49" i="6" s="1"/>
  <c r="R49" i="6"/>
  <c r="S48" i="6"/>
  <c r="G49" i="6"/>
  <c r="C49" i="6"/>
  <c r="D49" i="6"/>
  <c r="AY44" i="6"/>
  <c r="Q48" i="6"/>
  <c r="V48" i="6"/>
  <c r="W48" i="6" s="1"/>
  <c r="AT47" i="6" l="1"/>
  <c r="AU47" i="6" s="1"/>
  <c r="AH46" i="6"/>
  <c r="AG46" i="6"/>
  <c r="AH45" i="6"/>
  <c r="AG45" i="6"/>
  <c r="AE47" i="6"/>
  <c r="AF47" i="6"/>
  <c r="AD47" i="6"/>
  <c r="AM49" i="6"/>
  <c r="AP49" i="6"/>
  <c r="AJ49" i="6" s="1"/>
  <c r="AR48" i="6"/>
  <c r="AS48" i="6"/>
  <c r="AQ48" i="6"/>
  <c r="AA46" i="6"/>
  <c r="AC46" i="6" s="1"/>
  <c r="AV45" i="6"/>
  <c r="AW45" i="6" s="1"/>
  <c r="AX45" i="6" s="1"/>
  <c r="Q49" i="6"/>
  <c r="I50" i="6"/>
  <c r="U50" i="6" s="1"/>
  <c r="R50" i="6"/>
  <c r="Y48" i="6"/>
  <c r="AA48" i="6" s="1"/>
  <c r="X48" i="6"/>
  <c r="Z48" i="6" s="1"/>
  <c r="V49" i="6"/>
  <c r="W49" i="6" s="1"/>
  <c r="AB47" i="6"/>
  <c r="AC47" i="6"/>
  <c r="B51" i="6"/>
  <c r="E51" i="6" s="1"/>
  <c r="J51" i="6" a="1"/>
  <c r="J51" i="6" s="1"/>
  <c r="N51" i="6" a="1"/>
  <c r="N51" i="6" s="1"/>
  <c r="M51" i="6" a="1"/>
  <c r="M51" i="6" s="1"/>
  <c r="L51" i="6" a="1"/>
  <c r="L51" i="6" s="1"/>
  <c r="K51" i="6" a="1"/>
  <c r="K51" i="6" s="1"/>
  <c r="O51" i="6" a="1"/>
  <c r="O51" i="6" s="1"/>
  <c r="D50" i="6"/>
  <c r="G50" i="6"/>
  <c r="C50" i="6"/>
  <c r="H52" i="12" a="1"/>
  <c r="H52" i="12" s="1"/>
  <c r="A52" i="6"/>
  <c r="H50" i="6"/>
  <c r="T50" i="6" s="1"/>
  <c r="P50" i="6"/>
  <c r="S49" i="6"/>
  <c r="AI45" i="6" l="1"/>
  <c r="AL45" i="6" s="1"/>
  <c r="AT48" i="6"/>
  <c r="AU48" i="6" s="1"/>
  <c r="AI46" i="6"/>
  <c r="AL46" i="6" s="1"/>
  <c r="AH47" i="6"/>
  <c r="AG47" i="6"/>
  <c r="AF48" i="6"/>
  <c r="AE48" i="6"/>
  <c r="AD48" i="6"/>
  <c r="AM50" i="6"/>
  <c r="AP50" i="6"/>
  <c r="AJ50" i="6" s="1"/>
  <c r="AR49" i="6"/>
  <c r="AS49" i="6"/>
  <c r="AQ49" i="6"/>
  <c r="AB46" i="6"/>
  <c r="AY45" i="6"/>
  <c r="Q50" i="6"/>
  <c r="S50" i="6"/>
  <c r="V50" i="6"/>
  <c r="H53" i="12" a="1"/>
  <c r="H53" i="12" s="1"/>
  <c r="A53" i="6"/>
  <c r="H51" i="6"/>
  <c r="T51" i="6" s="1"/>
  <c r="P51" i="6"/>
  <c r="Y49" i="6"/>
  <c r="AA49" i="6" s="1"/>
  <c r="X49" i="6"/>
  <c r="Z49" i="6" s="1"/>
  <c r="R51" i="6"/>
  <c r="I51" i="6"/>
  <c r="U51" i="6" s="1"/>
  <c r="AV47" i="6"/>
  <c r="AW47" i="6" s="1"/>
  <c r="AX47" i="6" s="1"/>
  <c r="D51" i="6"/>
  <c r="G51" i="6"/>
  <c r="C51" i="6"/>
  <c r="AC48" i="6"/>
  <c r="AB48" i="6"/>
  <c r="B52" i="6"/>
  <c r="E52" i="6" s="1"/>
  <c r="L52" i="6" a="1"/>
  <c r="L52" i="6" s="1"/>
  <c r="O52" i="6" a="1"/>
  <c r="O52" i="6" s="1"/>
  <c r="N52" i="6" a="1"/>
  <c r="N52" i="6" s="1"/>
  <c r="J52" i="6" a="1"/>
  <c r="J52" i="6" s="1"/>
  <c r="M52" i="6" a="1"/>
  <c r="M52" i="6" s="1"/>
  <c r="K52" i="6" a="1"/>
  <c r="K52" i="6" s="1"/>
  <c r="AI47" i="6" l="1"/>
  <c r="AL47" i="6" s="1"/>
  <c r="AT49" i="6"/>
  <c r="AH48" i="6"/>
  <c r="AG48" i="6"/>
  <c r="AF49" i="6"/>
  <c r="AE49" i="6"/>
  <c r="AD49" i="6"/>
  <c r="AP51" i="6"/>
  <c r="AJ51" i="6" s="1"/>
  <c r="AM51" i="6"/>
  <c r="AR50" i="6"/>
  <c r="AS50" i="6"/>
  <c r="AQ50" i="6"/>
  <c r="AV46" i="6"/>
  <c r="AW46" i="6" s="1"/>
  <c r="AX46" i="6" s="1"/>
  <c r="W50" i="6"/>
  <c r="X50" i="6" s="1"/>
  <c r="Z50" i="6" s="1"/>
  <c r="Q51" i="6"/>
  <c r="S51" i="6"/>
  <c r="AY47" i="6"/>
  <c r="AB49" i="6"/>
  <c r="AC49" i="6"/>
  <c r="P52" i="6"/>
  <c r="H52" i="6"/>
  <c r="T52" i="6" s="1"/>
  <c r="C52" i="6"/>
  <c r="D52" i="6"/>
  <c r="G52" i="6"/>
  <c r="AV48" i="6"/>
  <c r="AW48" i="6" s="1"/>
  <c r="AX48" i="6" s="1"/>
  <c r="V51" i="6"/>
  <c r="W51" i="6" s="1"/>
  <c r="I52" i="6"/>
  <c r="U52" i="6" s="1"/>
  <c r="R52" i="6"/>
  <c r="B53" i="6"/>
  <c r="E53" i="6" s="1"/>
  <c r="O53" i="6" a="1"/>
  <c r="O53" i="6" s="1"/>
  <c r="M53" i="6" a="1"/>
  <c r="M53" i="6" s="1"/>
  <c r="N53" i="6" a="1"/>
  <c r="N53" i="6" s="1"/>
  <c r="L53" i="6" a="1"/>
  <c r="L53" i="6" s="1"/>
  <c r="J53" i="6" a="1"/>
  <c r="J53" i="6" s="1"/>
  <c r="K53" i="6" a="1"/>
  <c r="K53" i="6" s="1"/>
  <c r="H54" i="12" a="1"/>
  <c r="H54" i="12" s="1"/>
  <c r="A54" i="6"/>
  <c r="AT50" i="6" l="1"/>
  <c r="AU50" i="6" s="1"/>
  <c r="AI48" i="6"/>
  <c r="AL48" i="6" s="1"/>
  <c r="AT2" i="6"/>
  <c r="AU49" i="6"/>
  <c r="AH49" i="6"/>
  <c r="AG49" i="6"/>
  <c r="AE50" i="6"/>
  <c r="AF50" i="6"/>
  <c r="AD50" i="6"/>
  <c r="AM52" i="6"/>
  <c r="AP52" i="6"/>
  <c r="AJ52" i="6" s="1"/>
  <c r="AQ51" i="6"/>
  <c r="AS51" i="6"/>
  <c r="AR51" i="6"/>
  <c r="AY46" i="6"/>
  <c r="Y50" i="6"/>
  <c r="S52" i="6"/>
  <c r="H55" i="12" a="1"/>
  <c r="H55" i="12" s="1"/>
  <c r="A55" i="6"/>
  <c r="P53" i="6"/>
  <c r="H53" i="6"/>
  <c r="T53" i="6" s="1"/>
  <c r="AY48" i="6"/>
  <c r="V52" i="6"/>
  <c r="W52" i="6" s="1"/>
  <c r="I53" i="6"/>
  <c r="U53" i="6" s="1"/>
  <c r="R53" i="6"/>
  <c r="X51" i="6"/>
  <c r="Z51" i="6" s="1"/>
  <c r="Y51" i="6"/>
  <c r="AA51" i="6" s="1"/>
  <c r="Q52" i="6"/>
  <c r="B54" i="6"/>
  <c r="E54" i="6" s="1"/>
  <c r="K54" i="6" a="1"/>
  <c r="K54" i="6" s="1"/>
  <c r="O54" i="6" a="1"/>
  <c r="O54" i="6" s="1"/>
  <c r="J54" i="6" a="1"/>
  <c r="J54" i="6" s="1"/>
  <c r="N54" i="6" a="1"/>
  <c r="N54" i="6" s="1"/>
  <c r="M54" i="6" a="1"/>
  <c r="M54" i="6" s="1"/>
  <c r="L54" i="6" a="1"/>
  <c r="L54" i="6" s="1"/>
  <c r="D53" i="6"/>
  <c r="G53" i="6"/>
  <c r="C53" i="6"/>
  <c r="AV49" i="6"/>
  <c r="AW49" i="6" s="1"/>
  <c r="AX49" i="6" s="1"/>
  <c r="AT51" i="6" l="1"/>
  <c r="AU51" i="6" s="1"/>
  <c r="AI49" i="6"/>
  <c r="AL49" i="6" s="1"/>
  <c r="AH50" i="6"/>
  <c r="AG50" i="6"/>
  <c r="AE51" i="6"/>
  <c r="AF51" i="6"/>
  <c r="AD51" i="6"/>
  <c r="AM53" i="6"/>
  <c r="AP53" i="6"/>
  <c r="AJ53" i="6" s="1"/>
  <c r="AR52" i="6"/>
  <c r="AQ52" i="6"/>
  <c r="AS52" i="6"/>
  <c r="AA50" i="6"/>
  <c r="AB50" i="6" s="1"/>
  <c r="AB51" i="6"/>
  <c r="I54" i="6"/>
  <c r="U54" i="6" s="1"/>
  <c r="R54" i="6"/>
  <c r="P54" i="6"/>
  <c r="H54" i="6"/>
  <c r="T54" i="6" s="1"/>
  <c r="AC51" i="6"/>
  <c r="S53" i="6"/>
  <c r="V53" i="6"/>
  <c r="W53" i="6" s="1"/>
  <c r="AY49" i="6"/>
  <c r="C54" i="6"/>
  <c r="D54" i="6"/>
  <c r="G54" i="6"/>
  <c r="Y52" i="6"/>
  <c r="AA52" i="6" s="1"/>
  <c r="X52" i="6"/>
  <c r="Z52" i="6" s="1"/>
  <c r="Q53" i="6"/>
  <c r="B55" i="6"/>
  <c r="E55" i="6" s="1"/>
  <c r="M55" i="6" a="1"/>
  <c r="M55" i="6" s="1"/>
  <c r="L55" i="6" a="1"/>
  <c r="L55" i="6" s="1"/>
  <c r="K55" i="6" a="1"/>
  <c r="K55" i="6" s="1"/>
  <c r="N55" i="6" a="1"/>
  <c r="N55" i="6" s="1"/>
  <c r="O55" i="6" a="1"/>
  <c r="O55" i="6" s="1"/>
  <c r="J55" i="6" a="1"/>
  <c r="J55" i="6" s="1"/>
  <c r="H56" i="12" a="1"/>
  <c r="H56" i="12" s="1"/>
  <c r="A56" i="6"/>
  <c r="AT52" i="6" l="1"/>
  <c r="AU52" i="6" s="1"/>
  <c r="AI50" i="6"/>
  <c r="AL50" i="6" s="1"/>
  <c r="AH51" i="6"/>
  <c r="AG51" i="6"/>
  <c r="AF52" i="6"/>
  <c r="AE52" i="6"/>
  <c r="AD52" i="6"/>
  <c r="AM54" i="6"/>
  <c r="AP54" i="6"/>
  <c r="AJ54" i="6" s="1"/>
  <c r="AS53" i="6"/>
  <c r="AQ53" i="6"/>
  <c r="AR53" i="6"/>
  <c r="AC50" i="6"/>
  <c r="Q54" i="6"/>
  <c r="S54" i="6"/>
  <c r="R55" i="6"/>
  <c r="I55" i="6"/>
  <c r="U55" i="6" s="1"/>
  <c r="AB52" i="6"/>
  <c r="AC52" i="6"/>
  <c r="H57" i="12" a="1"/>
  <c r="H57" i="12" s="1"/>
  <c r="A57" i="6"/>
  <c r="X53" i="6"/>
  <c r="Z53" i="6" s="1"/>
  <c r="Y53" i="6"/>
  <c r="AA53" i="6" s="1"/>
  <c r="H55" i="6"/>
  <c r="T55" i="6" s="1"/>
  <c r="P55" i="6"/>
  <c r="B56" i="6"/>
  <c r="E56" i="6" s="1"/>
  <c r="N56" i="6" a="1"/>
  <c r="N56" i="6" s="1"/>
  <c r="K56" i="6" a="1"/>
  <c r="K56" i="6" s="1"/>
  <c r="J56" i="6" a="1"/>
  <c r="J56" i="6" s="1"/>
  <c r="L56" i="6" a="1"/>
  <c r="L56" i="6" s="1"/>
  <c r="M56" i="6" a="1"/>
  <c r="M56" i="6" s="1"/>
  <c r="O56" i="6" a="1"/>
  <c r="O56" i="6" s="1"/>
  <c r="C55" i="6"/>
  <c r="D55" i="6"/>
  <c r="G55" i="6"/>
  <c r="AV51" i="6"/>
  <c r="AW51" i="6" s="1"/>
  <c r="AX51" i="6" s="1"/>
  <c r="V54" i="6"/>
  <c r="W54" i="6" s="1"/>
  <c r="AT53" i="6" l="1"/>
  <c r="AU53" i="6" s="1"/>
  <c r="AI51" i="6"/>
  <c r="AL51" i="6" s="1"/>
  <c r="AH52" i="6"/>
  <c r="AG52" i="6"/>
  <c r="AV50" i="6"/>
  <c r="AW50" i="6" s="1"/>
  <c r="AX50" i="6" s="1"/>
  <c r="AF53" i="6"/>
  <c r="AE53" i="6"/>
  <c r="AD53" i="6"/>
  <c r="AM55" i="6"/>
  <c r="AP55" i="6"/>
  <c r="AJ55" i="6" s="1"/>
  <c r="AS54" i="6"/>
  <c r="AQ54" i="6"/>
  <c r="AR54" i="6"/>
  <c r="Q55" i="6"/>
  <c r="V55" i="6"/>
  <c r="W55" i="6" s="1"/>
  <c r="Y55" i="6" s="1"/>
  <c r="AA55" i="6" s="1"/>
  <c r="S55" i="6"/>
  <c r="AB53" i="6"/>
  <c r="AC53" i="6"/>
  <c r="R56" i="6"/>
  <c r="I56" i="6"/>
  <c r="U56" i="6" s="1"/>
  <c r="B57" i="6"/>
  <c r="E57" i="6" s="1"/>
  <c r="M57" i="6" a="1"/>
  <c r="M57" i="6" s="1"/>
  <c r="L57" i="6" a="1"/>
  <c r="L57" i="6" s="1"/>
  <c r="N57" i="6" a="1"/>
  <c r="N57" i="6" s="1"/>
  <c r="K57" i="6" a="1"/>
  <c r="K57" i="6" s="1"/>
  <c r="O57" i="6" a="1"/>
  <c r="O57" i="6" s="1"/>
  <c r="J57" i="6" a="1"/>
  <c r="J57" i="6" s="1"/>
  <c r="H58" i="12" a="1"/>
  <c r="H58" i="12" s="1"/>
  <c r="A58" i="6"/>
  <c r="P56" i="6"/>
  <c r="H56" i="6"/>
  <c r="T56" i="6" s="1"/>
  <c r="AV52" i="6"/>
  <c r="AW52" i="6" s="1"/>
  <c r="AX52" i="6" s="1"/>
  <c r="AY51" i="6"/>
  <c r="Y54" i="6"/>
  <c r="AA54" i="6" s="1"/>
  <c r="X54" i="6"/>
  <c r="Z54" i="6" s="1"/>
  <c r="C56" i="6"/>
  <c r="D56" i="6"/>
  <c r="G56" i="6"/>
  <c r="AT54" i="6" l="1"/>
  <c r="AU54" i="6" s="1"/>
  <c r="AY50" i="6"/>
  <c r="AI52" i="6"/>
  <c r="AL52" i="6" s="1"/>
  <c r="AH53" i="6"/>
  <c r="AG53" i="6"/>
  <c r="AF54" i="6"/>
  <c r="AE54" i="6"/>
  <c r="AD54" i="6"/>
  <c r="AM56" i="6"/>
  <c r="AP56" i="6"/>
  <c r="AJ56" i="6" s="1"/>
  <c r="AS55" i="6"/>
  <c r="AQ55" i="6"/>
  <c r="AR55" i="6"/>
  <c r="X55" i="6"/>
  <c r="Z55" i="6" s="1"/>
  <c r="S56" i="6"/>
  <c r="AV53" i="6"/>
  <c r="AW53" i="6" s="1"/>
  <c r="AX53" i="6" s="1"/>
  <c r="V56" i="6"/>
  <c r="P57" i="6"/>
  <c r="H57" i="6"/>
  <c r="T57" i="6" s="1"/>
  <c r="I57" i="6"/>
  <c r="U57" i="6" s="1"/>
  <c r="R57" i="6"/>
  <c r="AB54" i="6"/>
  <c r="AC54" i="6"/>
  <c r="AY52" i="6"/>
  <c r="Q56" i="6"/>
  <c r="B58" i="6"/>
  <c r="E58" i="6" s="1"/>
  <c r="O58" i="6" a="1"/>
  <c r="O58" i="6" s="1"/>
  <c r="N58" i="6" a="1"/>
  <c r="N58" i="6" s="1"/>
  <c r="M58" i="6" a="1"/>
  <c r="M58" i="6" s="1"/>
  <c r="L58" i="6" a="1"/>
  <c r="L58" i="6" s="1"/>
  <c r="J58" i="6" a="1"/>
  <c r="J58" i="6" s="1"/>
  <c r="K58" i="6" a="1"/>
  <c r="K58" i="6" s="1"/>
  <c r="G57" i="6"/>
  <c r="C57" i="6"/>
  <c r="D57" i="6"/>
  <c r="H59" i="12" a="1"/>
  <c r="H59" i="12" s="1"/>
  <c r="A59" i="6"/>
  <c r="AI53" i="6" l="1"/>
  <c r="AL53" i="6" s="1"/>
  <c r="AT55" i="6"/>
  <c r="AU55" i="6" s="1"/>
  <c r="AG54" i="6"/>
  <c r="AH54" i="6"/>
  <c r="AD55" i="6"/>
  <c r="AF55" i="6"/>
  <c r="AE55" i="6"/>
  <c r="AB55" i="6"/>
  <c r="AM57" i="6"/>
  <c r="AP57" i="6"/>
  <c r="AJ57" i="6" s="1"/>
  <c r="AS56" i="6"/>
  <c r="AQ56" i="6"/>
  <c r="AR56" i="6"/>
  <c r="AC55" i="6"/>
  <c r="W56" i="6"/>
  <c r="X56" i="6" s="1"/>
  <c r="Z56" i="6" s="1"/>
  <c r="AY53" i="6"/>
  <c r="S57" i="6"/>
  <c r="V57" i="6"/>
  <c r="D58" i="6"/>
  <c r="G58" i="6"/>
  <c r="C58" i="6"/>
  <c r="H60" i="12" a="1"/>
  <c r="H60" i="12" s="1"/>
  <c r="A60" i="6"/>
  <c r="Q57" i="6"/>
  <c r="B59" i="6"/>
  <c r="E59" i="6" s="1"/>
  <c r="J59" i="6" a="1"/>
  <c r="J59" i="6" s="1"/>
  <c r="O59" i="6" a="1"/>
  <c r="O59" i="6" s="1"/>
  <c r="N59" i="6" a="1"/>
  <c r="N59" i="6" s="1"/>
  <c r="L59" i="6" a="1"/>
  <c r="L59" i="6" s="1"/>
  <c r="M59" i="6" a="1"/>
  <c r="M59" i="6" s="1"/>
  <c r="K59" i="6" a="1"/>
  <c r="K59" i="6" s="1"/>
  <c r="H58" i="6"/>
  <c r="T58" i="6" s="1"/>
  <c r="P58" i="6"/>
  <c r="AV54" i="6"/>
  <c r="AW54" i="6" s="1"/>
  <c r="AX54" i="6" s="1"/>
  <c r="I58" i="6"/>
  <c r="U58" i="6" s="1"/>
  <c r="R58" i="6"/>
  <c r="AT56" i="6" l="1"/>
  <c r="AU56" i="6" s="1"/>
  <c r="AV55" i="6"/>
  <c r="AW55" i="6" s="1"/>
  <c r="AX55" i="6" s="1"/>
  <c r="AG55" i="6"/>
  <c r="AH55" i="6"/>
  <c r="AI54" i="6"/>
  <c r="AL54" i="6" s="1"/>
  <c r="AF56" i="6"/>
  <c r="AE56" i="6"/>
  <c r="AD56" i="6"/>
  <c r="AP58" i="6"/>
  <c r="AJ58" i="6" s="1"/>
  <c r="AM58" i="6"/>
  <c r="AR57" i="6"/>
  <c r="AS57" i="6"/>
  <c r="AQ57" i="6"/>
  <c r="Y56" i="6"/>
  <c r="W57" i="6"/>
  <c r="X57" i="6" s="1"/>
  <c r="Z57" i="6" s="1"/>
  <c r="S58" i="6"/>
  <c r="V58" i="6"/>
  <c r="I59" i="6"/>
  <c r="U59" i="6" s="1"/>
  <c r="R59" i="6"/>
  <c r="AY54" i="6"/>
  <c r="H59" i="6"/>
  <c r="T59" i="6" s="1"/>
  <c r="P59" i="6"/>
  <c r="Q58" i="6"/>
  <c r="D59" i="6"/>
  <c r="G59" i="6"/>
  <c r="C59" i="6"/>
  <c r="B60" i="6"/>
  <c r="E60" i="6" s="1"/>
  <c r="K60" i="6" a="1"/>
  <c r="K60" i="6" s="1"/>
  <c r="L60" i="6" a="1"/>
  <c r="L60" i="6" s="1"/>
  <c r="O60" i="6" a="1"/>
  <c r="O60" i="6" s="1"/>
  <c r="M60" i="6" a="1"/>
  <c r="M60" i="6" s="1"/>
  <c r="N60" i="6" a="1"/>
  <c r="N60" i="6" s="1"/>
  <c r="J60" i="6" a="1"/>
  <c r="J60" i="6" s="1"/>
  <c r="H61" i="12" a="1"/>
  <c r="H61" i="12" s="1"/>
  <c r="A61" i="6"/>
  <c r="AY55" i="6" l="1"/>
  <c r="AI55" i="6"/>
  <c r="AL55" i="6" s="1"/>
  <c r="AT57" i="6"/>
  <c r="AU57" i="6" s="1"/>
  <c r="AG56" i="6"/>
  <c r="AH56" i="6"/>
  <c r="AD57" i="6"/>
  <c r="AF57" i="6"/>
  <c r="AE57" i="6"/>
  <c r="AP59" i="6"/>
  <c r="AJ59" i="6" s="1"/>
  <c r="AM59" i="6"/>
  <c r="AR58" i="6"/>
  <c r="AS58" i="6"/>
  <c r="AQ58" i="6"/>
  <c r="AA56" i="6"/>
  <c r="AC56" i="6" s="1"/>
  <c r="Y57" i="6"/>
  <c r="W58" i="6"/>
  <c r="X58" i="6" s="1"/>
  <c r="Z58" i="6" s="1"/>
  <c r="V59" i="6"/>
  <c r="S59" i="6"/>
  <c r="R60" i="6"/>
  <c r="I60" i="6"/>
  <c r="U60" i="6" s="1"/>
  <c r="Q59" i="6"/>
  <c r="B61" i="6"/>
  <c r="E61" i="6" s="1"/>
  <c r="L61" i="6" a="1"/>
  <c r="L61" i="6" s="1"/>
  <c r="N61" i="6" a="1"/>
  <c r="N61" i="6" s="1"/>
  <c r="K61" i="6" a="1"/>
  <c r="K61" i="6" s="1"/>
  <c r="J61" i="6" a="1"/>
  <c r="J61" i="6" s="1"/>
  <c r="M61" i="6" a="1"/>
  <c r="M61" i="6" s="1"/>
  <c r="O61" i="6" a="1"/>
  <c r="O61" i="6" s="1"/>
  <c r="C60" i="6"/>
  <c r="D60" i="6"/>
  <c r="G60" i="6"/>
  <c r="H62" i="12" a="1"/>
  <c r="H62" i="12" s="1"/>
  <c r="A62" i="6"/>
  <c r="P60" i="6"/>
  <c r="H60" i="6"/>
  <c r="T60" i="6" s="1"/>
  <c r="AT58" i="6" l="1"/>
  <c r="AU58" i="6" s="1"/>
  <c r="AI56" i="6"/>
  <c r="AL56" i="6" s="1"/>
  <c r="AH57" i="6"/>
  <c r="AG57" i="6"/>
  <c r="AD58" i="6"/>
  <c r="AE58" i="6"/>
  <c r="AF58" i="6"/>
  <c r="AB56" i="6"/>
  <c r="AM60" i="6"/>
  <c r="AP60" i="6"/>
  <c r="AJ60" i="6" s="1"/>
  <c r="AQ59" i="6"/>
  <c r="AR59" i="6"/>
  <c r="AS59" i="6"/>
  <c r="AA57" i="6"/>
  <c r="AB57" i="6" s="1"/>
  <c r="Y58" i="6"/>
  <c r="W59" i="6"/>
  <c r="X59" i="6" s="1"/>
  <c r="Z59" i="6" s="1"/>
  <c r="V60" i="6"/>
  <c r="W60" i="6" s="1"/>
  <c r="Y60" i="6" s="1"/>
  <c r="AA60" i="6" s="1"/>
  <c r="S60" i="6"/>
  <c r="H63" i="12" a="1"/>
  <c r="H63" i="12" s="1"/>
  <c r="A63" i="6"/>
  <c r="R61" i="6"/>
  <c r="I61" i="6"/>
  <c r="U61" i="6" s="1"/>
  <c r="P61" i="6"/>
  <c r="H61" i="6"/>
  <c r="T61" i="6" s="1"/>
  <c r="Q60" i="6"/>
  <c r="C61" i="6"/>
  <c r="D61" i="6"/>
  <c r="G61" i="6"/>
  <c r="B62" i="6"/>
  <c r="E62" i="6" s="1"/>
  <c r="L62" i="6" a="1"/>
  <c r="L62" i="6" s="1"/>
  <c r="K62" i="6" a="1"/>
  <c r="K62" i="6" s="1"/>
  <c r="N62" i="6" a="1"/>
  <c r="N62" i="6" s="1"/>
  <c r="O62" i="6" a="1"/>
  <c r="O62" i="6" s="1"/>
  <c r="M62" i="6" a="1"/>
  <c r="M62" i="6" s="1"/>
  <c r="J62" i="6" a="1"/>
  <c r="J62" i="6" s="1"/>
  <c r="AT59" i="6" l="1"/>
  <c r="AU59" i="6" s="1"/>
  <c r="AI57" i="6"/>
  <c r="AL57" i="6" s="1"/>
  <c r="AH58" i="6"/>
  <c r="AG58" i="6"/>
  <c r="AE59" i="6"/>
  <c r="AF59" i="6"/>
  <c r="AD59" i="6"/>
  <c r="AV56" i="6"/>
  <c r="AM61" i="6"/>
  <c r="AP61" i="6"/>
  <c r="AJ61" i="6" s="1"/>
  <c r="AR60" i="6"/>
  <c r="AQ60" i="6"/>
  <c r="AS60" i="6"/>
  <c r="AA58" i="6"/>
  <c r="AC58" i="6" s="1"/>
  <c r="AC57" i="6"/>
  <c r="X60" i="6"/>
  <c r="Z60" i="6" s="1"/>
  <c r="Y59" i="6"/>
  <c r="AA59" i="6" s="1"/>
  <c r="V61" i="6"/>
  <c r="S61" i="6"/>
  <c r="Q61" i="6"/>
  <c r="I62" i="6"/>
  <c r="U62" i="6" s="1"/>
  <c r="R62" i="6"/>
  <c r="P62" i="6"/>
  <c r="H62" i="6"/>
  <c r="T62" i="6" s="1"/>
  <c r="C62" i="6"/>
  <c r="D62" i="6"/>
  <c r="G62" i="6"/>
  <c r="B63" i="6"/>
  <c r="E63" i="6" s="1"/>
  <c r="J63" i="6" a="1"/>
  <c r="J63" i="6" s="1"/>
  <c r="M63" i="6" a="1"/>
  <c r="M63" i="6" s="1"/>
  <c r="L63" i="6" a="1"/>
  <c r="L63" i="6" s="1"/>
  <c r="N63" i="6" a="1"/>
  <c r="N63" i="6" s="1"/>
  <c r="O63" i="6" a="1"/>
  <c r="O63" i="6" s="1"/>
  <c r="K63" i="6" a="1"/>
  <c r="K63" i="6" s="1"/>
  <c r="H64" i="12" a="1"/>
  <c r="H64" i="12" s="1"/>
  <c r="A64" i="6"/>
  <c r="AT60" i="6" l="1"/>
  <c r="AU60" i="6" s="1"/>
  <c r="AW56" i="6"/>
  <c r="AY56" i="6" s="1"/>
  <c r="AH59" i="6"/>
  <c r="AG59" i="6"/>
  <c r="AI58" i="6"/>
  <c r="AL58" i="6" s="1"/>
  <c r="AD60" i="6"/>
  <c r="AF60" i="6"/>
  <c r="AE60" i="6"/>
  <c r="AB60" i="6"/>
  <c r="AM62" i="6"/>
  <c r="AP62" i="6"/>
  <c r="AJ62" i="6" s="1"/>
  <c r="AQ61" i="6"/>
  <c r="AR61" i="6"/>
  <c r="AS61" i="6"/>
  <c r="AB58" i="6"/>
  <c r="AV57" i="6"/>
  <c r="AW57" i="6" s="1"/>
  <c r="AX57" i="6" s="1"/>
  <c r="AC60" i="6"/>
  <c r="W61" i="6"/>
  <c r="X61" i="6" s="1"/>
  <c r="Z61" i="6" s="1"/>
  <c r="AC59" i="6"/>
  <c r="AB59" i="6"/>
  <c r="S62" i="6"/>
  <c r="Q62" i="6"/>
  <c r="H65" i="12" a="1"/>
  <c r="H65" i="12" s="1"/>
  <c r="A65" i="6"/>
  <c r="R63" i="6"/>
  <c r="I63" i="6"/>
  <c r="U63" i="6" s="1"/>
  <c r="V62" i="6"/>
  <c r="W62" i="6" s="1"/>
  <c r="P63" i="6"/>
  <c r="H63" i="6"/>
  <c r="T63" i="6" s="1"/>
  <c r="B64" i="6"/>
  <c r="E64" i="6" s="1"/>
  <c r="O64" i="6" a="1"/>
  <c r="O64" i="6" s="1"/>
  <c r="N64" i="6" a="1"/>
  <c r="N64" i="6" s="1"/>
  <c r="M64" i="6" a="1"/>
  <c r="M64" i="6" s="1"/>
  <c r="L64" i="6" a="1"/>
  <c r="L64" i="6" s="1"/>
  <c r="K64" i="6" a="1"/>
  <c r="K64" i="6" s="1"/>
  <c r="J64" i="6" a="1"/>
  <c r="J64" i="6" s="1"/>
  <c r="C63" i="6"/>
  <c r="D63" i="6"/>
  <c r="G63" i="6"/>
  <c r="AT61" i="6" l="1"/>
  <c r="AU61" i="6" s="1"/>
  <c r="AI59" i="6"/>
  <c r="AL59" i="6" s="1"/>
  <c r="AX56" i="6"/>
  <c r="AH60" i="6"/>
  <c r="AG60" i="6"/>
  <c r="AD61" i="6"/>
  <c r="AF61" i="6"/>
  <c r="AE61" i="6"/>
  <c r="AV60" i="6"/>
  <c r="AW60" i="6" s="1"/>
  <c r="AX60" i="6" s="1"/>
  <c r="AV58" i="6"/>
  <c r="AS62" i="6"/>
  <c r="AQ62" i="6"/>
  <c r="AR62" i="6"/>
  <c r="AM63" i="6"/>
  <c r="AP63" i="6"/>
  <c r="AJ63" i="6" s="1"/>
  <c r="AY57" i="6"/>
  <c r="AV59" i="6"/>
  <c r="AW59" i="6" s="1"/>
  <c r="AX59" i="6" s="1"/>
  <c r="Y61" i="6"/>
  <c r="V63" i="6"/>
  <c r="S63" i="6"/>
  <c r="C64" i="6"/>
  <c r="D64" i="6"/>
  <c r="G64" i="6"/>
  <c r="P64" i="6"/>
  <c r="H64" i="6"/>
  <c r="T64" i="6" s="1"/>
  <c r="R64" i="6"/>
  <c r="I64" i="6"/>
  <c r="U64" i="6" s="1"/>
  <c r="Q63" i="6"/>
  <c r="B65" i="6"/>
  <c r="E65" i="6" s="1"/>
  <c r="O65" i="6" a="1"/>
  <c r="O65" i="6" s="1"/>
  <c r="L65" i="6" a="1"/>
  <c r="L65" i="6" s="1"/>
  <c r="K65" i="6" a="1"/>
  <c r="K65" i="6" s="1"/>
  <c r="N65" i="6" a="1"/>
  <c r="N65" i="6" s="1"/>
  <c r="M65" i="6" a="1"/>
  <c r="M65" i="6" s="1"/>
  <c r="J65" i="6" a="1"/>
  <c r="J65" i="6" s="1"/>
  <c r="H66" i="12" a="1"/>
  <c r="H66" i="12" s="1"/>
  <c r="A66" i="6"/>
  <c r="Y62" i="6"/>
  <c r="AA62" i="6" s="1"/>
  <c r="X62" i="6"/>
  <c r="Z62" i="6" s="1"/>
  <c r="AT62" i="6" l="1"/>
  <c r="AU62" i="6" s="1"/>
  <c r="AI60" i="6"/>
  <c r="AL60" i="6" s="1"/>
  <c r="AY60" i="6"/>
  <c r="AH61" i="6"/>
  <c r="AG61" i="6"/>
  <c r="AW58" i="6"/>
  <c r="AF62" i="6"/>
  <c r="AE62" i="6"/>
  <c r="AD62" i="6"/>
  <c r="AM64" i="6"/>
  <c r="AP64" i="6"/>
  <c r="AJ64" i="6" s="1"/>
  <c r="AS63" i="6"/>
  <c r="AQ63" i="6"/>
  <c r="AR63" i="6"/>
  <c r="AA61" i="6"/>
  <c r="AB61" i="6" s="1"/>
  <c r="W63" i="6"/>
  <c r="X63" i="6" s="1"/>
  <c r="Z63" i="6" s="1"/>
  <c r="AY59" i="6"/>
  <c r="Q64" i="6"/>
  <c r="V64" i="6"/>
  <c r="S64" i="6"/>
  <c r="AC62" i="6"/>
  <c r="AB62" i="6"/>
  <c r="B66" i="6"/>
  <c r="E66" i="6" s="1"/>
  <c r="K66" i="6" a="1"/>
  <c r="K66" i="6" s="1"/>
  <c r="J66" i="6" a="1"/>
  <c r="J66" i="6" s="1"/>
  <c r="O66" i="6" a="1"/>
  <c r="O66" i="6" s="1"/>
  <c r="N66" i="6" a="1"/>
  <c r="N66" i="6" s="1"/>
  <c r="L66" i="6" a="1"/>
  <c r="L66" i="6" s="1"/>
  <c r="M66" i="6" a="1"/>
  <c r="M66" i="6" s="1"/>
  <c r="G65" i="6"/>
  <c r="C65" i="6"/>
  <c r="D65" i="6"/>
  <c r="H67" i="12" a="1"/>
  <c r="H67" i="12" s="1"/>
  <c r="A67" i="6"/>
  <c r="H65" i="6"/>
  <c r="T65" i="6" s="1"/>
  <c r="P65" i="6"/>
  <c r="R65" i="6"/>
  <c r="I65" i="6"/>
  <c r="U65" i="6" s="1"/>
  <c r="AT63" i="6" l="1"/>
  <c r="AU63" i="6" s="1"/>
  <c r="AH62" i="6"/>
  <c r="AG62" i="6"/>
  <c r="AX58" i="6"/>
  <c r="AY58" i="6"/>
  <c r="AI61" i="6"/>
  <c r="AL61" i="6" s="1"/>
  <c r="AF63" i="6"/>
  <c r="AE63" i="6"/>
  <c r="AD63" i="6"/>
  <c r="AM65" i="6"/>
  <c r="AP65" i="6"/>
  <c r="AJ65" i="6" s="1"/>
  <c r="AC61" i="6"/>
  <c r="AS64" i="6"/>
  <c r="AQ64" i="6"/>
  <c r="AR64" i="6"/>
  <c r="W64" i="6"/>
  <c r="Y64" i="6" s="1"/>
  <c r="AA64" i="6" s="1"/>
  <c r="Y63" i="6"/>
  <c r="Q65" i="6"/>
  <c r="P66" i="6"/>
  <c r="H66" i="6"/>
  <c r="T66" i="6" s="1"/>
  <c r="S65" i="6"/>
  <c r="V65" i="6"/>
  <c r="W65" i="6" s="1"/>
  <c r="B67" i="6"/>
  <c r="E67" i="6" s="1"/>
  <c r="L67" i="6" a="1"/>
  <c r="L67" i="6" s="1"/>
  <c r="J67" i="6" a="1"/>
  <c r="J67" i="6" s="1"/>
  <c r="O67" i="6" a="1"/>
  <c r="O67" i="6" s="1"/>
  <c r="M67" i="6" a="1"/>
  <c r="M67" i="6" s="1"/>
  <c r="N67" i="6" a="1"/>
  <c r="N67" i="6" s="1"/>
  <c r="K67" i="6" a="1"/>
  <c r="K67" i="6" s="1"/>
  <c r="D66" i="6"/>
  <c r="G66" i="6"/>
  <c r="C66" i="6"/>
  <c r="H68" i="12" a="1"/>
  <c r="H68" i="12" s="1"/>
  <c r="A68" i="6"/>
  <c r="AV62" i="6"/>
  <c r="AW62" i="6" s="1"/>
  <c r="AX62" i="6" s="1"/>
  <c r="I66" i="6"/>
  <c r="U66" i="6" s="1"/>
  <c r="R66" i="6"/>
  <c r="AH63" i="6" l="1"/>
  <c r="AG63" i="6"/>
  <c r="AI62" i="6"/>
  <c r="AL62" i="6" s="1"/>
  <c r="AV61" i="6"/>
  <c r="AW61" i="6" s="1"/>
  <c r="AX61" i="6" s="1"/>
  <c r="AP66" i="6"/>
  <c r="AJ66" i="6" s="1"/>
  <c r="AM66" i="6"/>
  <c r="AS65" i="6"/>
  <c r="AQ65" i="6"/>
  <c r="AR65" i="6"/>
  <c r="X64" i="6"/>
  <c r="Z64" i="6" s="1"/>
  <c r="AT64" i="6" s="1"/>
  <c r="AU64" i="6" s="1"/>
  <c r="S66" i="6"/>
  <c r="AA63" i="6"/>
  <c r="AB63" i="6" s="1"/>
  <c r="P67" i="6"/>
  <c r="H67" i="6"/>
  <c r="T67" i="6" s="1"/>
  <c r="H69" i="12" a="1"/>
  <c r="H69" i="12" s="1"/>
  <c r="A69" i="6"/>
  <c r="G67" i="6"/>
  <c r="C67" i="6"/>
  <c r="D67" i="6"/>
  <c r="V66" i="6"/>
  <c r="W66" i="6" s="1"/>
  <c r="B68" i="6"/>
  <c r="E68" i="6" s="1"/>
  <c r="K68" i="6" a="1"/>
  <c r="K68" i="6" s="1"/>
  <c r="J68" i="6" a="1"/>
  <c r="J68" i="6" s="1"/>
  <c r="L68" i="6" a="1"/>
  <c r="L68" i="6" s="1"/>
  <c r="O68" i="6" a="1"/>
  <c r="O68" i="6" s="1"/>
  <c r="M68" i="6" a="1"/>
  <c r="M68" i="6" s="1"/>
  <c r="N68" i="6" a="1"/>
  <c r="N68" i="6" s="1"/>
  <c r="AY62" i="6"/>
  <c r="Y65" i="6"/>
  <c r="AA65" i="6" s="1"/>
  <c r="X65" i="6"/>
  <c r="Z65" i="6" s="1"/>
  <c r="Q66" i="6"/>
  <c r="I67" i="6"/>
  <c r="U67" i="6" s="1"/>
  <c r="R67" i="6"/>
  <c r="AI63" i="6" l="1"/>
  <c r="AL63" i="6" s="1"/>
  <c r="AT65" i="6"/>
  <c r="AU65" i="6" s="1"/>
  <c r="AD64" i="6"/>
  <c r="AF64" i="6"/>
  <c r="AE64" i="6"/>
  <c r="AF65" i="6"/>
  <c r="AE65" i="6"/>
  <c r="AY61" i="6"/>
  <c r="AD65" i="6"/>
  <c r="AC64" i="6"/>
  <c r="AP67" i="6"/>
  <c r="AJ67" i="6" s="1"/>
  <c r="AM67" i="6"/>
  <c r="AR66" i="6"/>
  <c r="AQ66" i="6"/>
  <c r="AS66" i="6"/>
  <c r="AC63" i="6"/>
  <c r="AB64" i="6"/>
  <c r="S67" i="6"/>
  <c r="AC65" i="6"/>
  <c r="AB65" i="6"/>
  <c r="C68" i="6"/>
  <c r="D68" i="6"/>
  <c r="G68" i="6"/>
  <c r="X66" i="6"/>
  <c r="Z66" i="6" s="1"/>
  <c r="Y66" i="6"/>
  <c r="AA66" i="6" s="1"/>
  <c r="I68" i="6"/>
  <c r="U68" i="6" s="1"/>
  <c r="R68" i="6"/>
  <c r="B69" i="6"/>
  <c r="E69" i="6" s="1"/>
  <c r="L69" i="6" a="1"/>
  <c r="L69" i="6" s="1"/>
  <c r="N69" i="6" a="1"/>
  <c r="N69" i="6" s="1"/>
  <c r="K69" i="6" a="1"/>
  <c r="K69" i="6" s="1"/>
  <c r="J69" i="6" a="1"/>
  <c r="J69" i="6" s="1"/>
  <c r="O69" i="6" a="1"/>
  <c r="O69" i="6" s="1"/>
  <c r="M69" i="6" a="1"/>
  <c r="M69" i="6" s="1"/>
  <c r="H70" i="12" a="1"/>
  <c r="H70" i="12" s="1"/>
  <c r="A70" i="6"/>
  <c r="V67" i="6"/>
  <c r="W67" i="6" s="1"/>
  <c r="P68" i="6"/>
  <c r="H68" i="6"/>
  <c r="T68" i="6" s="1"/>
  <c r="Q67" i="6"/>
  <c r="AH65" i="6" l="1"/>
  <c r="AG65" i="6"/>
  <c r="AH64" i="6"/>
  <c r="AG64" i="6"/>
  <c r="AT66" i="6"/>
  <c r="AU66" i="6" s="1"/>
  <c r="AD66" i="6"/>
  <c r="AE66" i="6"/>
  <c r="AF66" i="6"/>
  <c r="AM68" i="6"/>
  <c r="AP68" i="6"/>
  <c r="AJ68" i="6" s="1"/>
  <c r="AV63" i="6"/>
  <c r="AW63" i="6" s="1"/>
  <c r="AX63" i="6" s="1"/>
  <c r="AQ67" i="6"/>
  <c r="AR67" i="6"/>
  <c r="AS67" i="6"/>
  <c r="AV64" i="6"/>
  <c r="AW64" i="6" s="1"/>
  <c r="AX64" i="6" s="1"/>
  <c r="V68" i="6"/>
  <c r="Q68" i="6"/>
  <c r="AB66" i="6"/>
  <c r="Y67" i="6"/>
  <c r="AA67" i="6" s="1"/>
  <c r="X67" i="6"/>
  <c r="Z67" i="6" s="1"/>
  <c r="B70" i="6"/>
  <c r="E70" i="6" s="1"/>
  <c r="M70" i="6" a="1"/>
  <c r="M70" i="6" s="1"/>
  <c r="L70" i="6" a="1"/>
  <c r="L70" i="6" s="1"/>
  <c r="N70" i="6" a="1"/>
  <c r="N70" i="6" s="1"/>
  <c r="O70" i="6" a="1"/>
  <c r="O70" i="6" s="1"/>
  <c r="J70" i="6" a="1"/>
  <c r="J70" i="6" s="1"/>
  <c r="K70" i="6" a="1"/>
  <c r="K70" i="6" s="1"/>
  <c r="C69" i="6"/>
  <c r="D69" i="6"/>
  <c r="G69" i="6"/>
  <c r="H71" i="12" a="1"/>
  <c r="H71" i="12" s="1"/>
  <c r="A71" i="6"/>
  <c r="S68" i="6"/>
  <c r="I69" i="6"/>
  <c r="U69" i="6" s="1"/>
  <c r="R69" i="6"/>
  <c r="H69" i="6"/>
  <c r="T69" i="6" s="1"/>
  <c r="P69" i="6"/>
  <c r="AC66" i="6"/>
  <c r="AV65" i="6"/>
  <c r="AW65" i="6" s="1"/>
  <c r="AX65" i="6" s="1"/>
  <c r="AI64" i="6" l="1"/>
  <c r="AL64" i="6" s="1"/>
  <c r="AI65" i="6"/>
  <c r="AL65" i="6" s="1"/>
  <c r="AY63" i="6"/>
  <c r="AT67" i="6"/>
  <c r="AU67" i="6" s="1"/>
  <c r="AH66" i="6"/>
  <c r="AG66" i="6"/>
  <c r="AD67" i="6"/>
  <c r="AE67" i="6"/>
  <c r="AF67" i="6"/>
  <c r="AM69" i="6"/>
  <c r="AP69" i="6"/>
  <c r="AJ69" i="6" s="1"/>
  <c r="AR68" i="6"/>
  <c r="AQ68" i="6"/>
  <c r="AS68" i="6"/>
  <c r="AY64" i="6"/>
  <c r="W68" i="6"/>
  <c r="Y68" i="6" s="1"/>
  <c r="AA68" i="6" s="1"/>
  <c r="Q69" i="6"/>
  <c r="I70" i="6"/>
  <c r="U70" i="6" s="1"/>
  <c r="R70" i="6"/>
  <c r="V69" i="6"/>
  <c r="W69" i="6" s="1"/>
  <c r="B71" i="6"/>
  <c r="E71" i="6" s="1"/>
  <c r="J71" i="6" a="1"/>
  <c r="J71" i="6" s="1"/>
  <c r="O71" i="6" a="1"/>
  <c r="O71" i="6" s="1"/>
  <c r="N71" i="6" a="1"/>
  <c r="N71" i="6" s="1"/>
  <c r="K71" i="6" a="1"/>
  <c r="K71" i="6" s="1"/>
  <c r="L71" i="6" a="1"/>
  <c r="L71" i="6" s="1"/>
  <c r="M71" i="6" a="1"/>
  <c r="M71" i="6" s="1"/>
  <c r="AY65" i="6"/>
  <c r="C70" i="6"/>
  <c r="D70" i="6"/>
  <c r="G70" i="6"/>
  <c r="H72" i="12" a="1"/>
  <c r="H72" i="12" s="1"/>
  <c r="A72" i="6"/>
  <c r="S69" i="6"/>
  <c r="H70" i="6"/>
  <c r="T70" i="6" s="1"/>
  <c r="P70" i="6"/>
  <c r="AC67" i="6"/>
  <c r="AB67" i="6"/>
  <c r="AV66" i="6"/>
  <c r="AW66" i="6" s="1"/>
  <c r="AX66" i="6" s="1"/>
  <c r="AI66" i="6" l="1"/>
  <c r="AL66" i="6" s="1"/>
  <c r="AH67" i="6"/>
  <c r="AG67" i="6"/>
  <c r="AM70" i="6"/>
  <c r="AP70" i="6"/>
  <c r="AJ70" i="6" s="1"/>
  <c r="AR69" i="6"/>
  <c r="AQ69" i="6"/>
  <c r="AS69" i="6"/>
  <c r="X68" i="6"/>
  <c r="Z68" i="6" s="1"/>
  <c r="AT68" i="6" s="1"/>
  <c r="AU68" i="6" s="1"/>
  <c r="V70" i="6"/>
  <c r="W70" i="6" s="1"/>
  <c r="X70" i="6" s="1"/>
  <c r="Z70" i="6" s="1"/>
  <c r="Q70" i="6"/>
  <c r="S70" i="6"/>
  <c r="P71" i="6"/>
  <c r="H71" i="6"/>
  <c r="T71" i="6" s="1"/>
  <c r="H73" i="12" a="1"/>
  <c r="H73" i="12" s="1"/>
  <c r="A73" i="6"/>
  <c r="C71" i="6"/>
  <c r="D71" i="6"/>
  <c r="G71" i="6"/>
  <c r="AV67" i="6"/>
  <c r="AW67" i="6" s="1"/>
  <c r="AX67" i="6" s="1"/>
  <c r="B72" i="6"/>
  <c r="E72" i="6" s="1"/>
  <c r="J72" i="6" a="1"/>
  <c r="J72" i="6" s="1"/>
  <c r="L72" i="6" a="1"/>
  <c r="L72" i="6" s="1"/>
  <c r="O72" i="6" a="1"/>
  <c r="O72" i="6" s="1"/>
  <c r="K72" i="6" a="1"/>
  <c r="K72" i="6" s="1"/>
  <c r="N72" i="6" a="1"/>
  <c r="N72" i="6" s="1"/>
  <c r="M72" i="6" a="1"/>
  <c r="M72" i="6" s="1"/>
  <c r="X69" i="6"/>
  <c r="Z69" i="6" s="1"/>
  <c r="Y69" i="6"/>
  <c r="AA69" i="6" s="1"/>
  <c r="I71" i="6"/>
  <c r="U71" i="6" s="1"/>
  <c r="R71" i="6"/>
  <c r="AY66" i="6"/>
  <c r="AI67" i="6" l="1"/>
  <c r="AL67" i="6" s="1"/>
  <c r="AT69" i="6"/>
  <c r="AU69" i="6" s="1"/>
  <c r="AD68" i="6"/>
  <c r="AF68" i="6"/>
  <c r="AE68" i="6"/>
  <c r="AD70" i="6"/>
  <c r="AF70" i="6"/>
  <c r="AE70" i="6"/>
  <c r="AF69" i="6"/>
  <c r="AE69" i="6"/>
  <c r="AD69" i="6"/>
  <c r="AB68" i="6"/>
  <c r="AM71" i="6"/>
  <c r="AP71" i="6"/>
  <c r="AJ71" i="6" s="1"/>
  <c r="AR70" i="6"/>
  <c r="AQ70" i="6"/>
  <c r="AT70" i="6" s="1"/>
  <c r="AU70" i="6" s="1"/>
  <c r="AS70" i="6"/>
  <c r="Y70" i="6"/>
  <c r="AA70" i="6" s="1"/>
  <c r="AB70" i="6" s="1"/>
  <c r="AC68" i="6"/>
  <c r="Q71" i="6"/>
  <c r="P72" i="6"/>
  <c r="H72" i="6"/>
  <c r="T72" i="6" s="1"/>
  <c r="S71" i="6"/>
  <c r="C72" i="6"/>
  <c r="D72" i="6"/>
  <c r="G72" i="6"/>
  <c r="AY67" i="6"/>
  <c r="AB69" i="6"/>
  <c r="AC69" i="6"/>
  <c r="R72" i="6"/>
  <c r="I72" i="6"/>
  <c r="U72" i="6" s="1"/>
  <c r="B73" i="6"/>
  <c r="E73" i="6" s="1"/>
  <c r="N73" i="6" a="1"/>
  <c r="N73" i="6" s="1"/>
  <c r="J73" i="6" a="1"/>
  <c r="J73" i="6" s="1"/>
  <c r="M73" i="6" a="1"/>
  <c r="M73" i="6" s="1"/>
  <c r="L73" i="6" a="1"/>
  <c r="L73" i="6" s="1"/>
  <c r="K73" i="6" a="1"/>
  <c r="K73" i="6" s="1"/>
  <c r="O73" i="6" a="1"/>
  <c r="O73" i="6" s="1"/>
  <c r="H74" i="12" a="1"/>
  <c r="H74" i="12" s="1"/>
  <c r="A74" i="6"/>
  <c r="V71" i="6"/>
  <c r="W71" i="6" s="1"/>
  <c r="AH70" i="6" l="1"/>
  <c r="AG70" i="6"/>
  <c r="AV68" i="6"/>
  <c r="AH69" i="6"/>
  <c r="AG69" i="6"/>
  <c r="AH68" i="6"/>
  <c r="AG68" i="6"/>
  <c r="AC70" i="6"/>
  <c r="AV70" i="6" s="1"/>
  <c r="AW70" i="6" s="1"/>
  <c r="AS71" i="6"/>
  <c r="AR71" i="6"/>
  <c r="AQ71" i="6"/>
  <c r="AM72" i="6"/>
  <c r="AP72" i="6"/>
  <c r="AJ72" i="6" s="1"/>
  <c r="S72" i="6"/>
  <c r="V72" i="6"/>
  <c r="I73" i="6"/>
  <c r="U73" i="6" s="1"/>
  <c r="R73" i="6"/>
  <c r="P73" i="6"/>
  <c r="H73" i="6"/>
  <c r="T73" i="6" s="1"/>
  <c r="X71" i="6"/>
  <c r="Z71" i="6" s="1"/>
  <c r="Y71" i="6"/>
  <c r="AA71" i="6" s="1"/>
  <c r="B74" i="6"/>
  <c r="E74" i="6" s="1"/>
  <c r="O74" i="6" a="1"/>
  <c r="O74" i="6" s="1"/>
  <c r="K74" i="6" a="1"/>
  <c r="K74" i="6" s="1"/>
  <c r="J74" i="6" a="1"/>
  <c r="J74" i="6" s="1"/>
  <c r="M74" i="6" a="1"/>
  <c r="M74" i="6" s="1"/>
  <c r="L74" i="6" a="1"/>
  <c r="L74" i="6" s="1"/>
  <c r="N74" i="6" a="1"/>
  <c r="N74" i="6" s="1"/>
  <c r="G73" i="6"/>
  <c r="C73" i="6"/>
  <c r="D73" i="6"/>
  <c r="H75" i="12" a="1"/>
  <c r="H75" i="12" s="1"/>
  <c r="A75" i="6"/>
  <c r="AV69" i="6"/>
  <c r="AW69" i="6" s="1"/>
  <c r="AX69" i="6" s="1"/>
  <c r="Q72" i="6"/>
  <c r="AT71" i="6" l="1"/>
  <c r="AU71" i="6" s="1"/>
  <c r="AI70" i="6"/>
  <c r="AL70" i="6" s="1"/>
  <c r="AI69" i="6"/>
  <c r="AL69" i="6" s="1"/>
  <c r="AW68" i="6"/>
  <c r="AX70" i="6"/>
  <c r="AI68" i="6"/>
  <c r="AL68" i="6" s="1"/>
  <c r="AE71" i="6"/>
  <c r="AF71" i="6"/>
  <c r="AD71" i="6"/>
  <c r="AS72" i="6"/>
  <c r="AR72" i="6"/>
  <c r="AQ72" i="6"/>
  <c r="AM73" i="6"/>
  <c r="AP73" i="6"/>
  <c r="AJ73" i="6" s="1"/>
  <c r="W72" i="6"/>
  <c r="X72" i="6" s="1"/>
  <c r="Z72" i="6" s="1"/>
  <c r="V73" i="6"/>
  <c r="W73" i="6" s="1"/>
  <c r="X73" i="6" s="1"/>
  <c r="Z73" i="6" s="1"/>
  <c r="S73" i="6"/>
  <c r="AC71" i="6"/>
  <c r="AY69" i="6"/>
  <c r="B75" i="6"/>
  <c r="E75" i="6" s="1"/>
  <c r="M75" i="6" a="1"/>
  <c r="M75" i="6" s="1"/>
  <c r="L75" i="6" a="1"/>
  <c r="L75" i="6" s="1"/>
  <c r="K75" i="6" a="1"/>
  <c r="K75" i="6" s="1"/>
  <c r="J75" i="6" a="1"/>
  <c r="J75" i="6" s="1"/>
  <c r="O75" i="6" a="1"/>
  <c r="O75" i="6" s="1"/>
  <c r="N75" i="6" a="1"/>
  <c r="N75" i="6" s="1"/>
  <c r="AB71" i="6"/>
  <c r="Q73" i="6"/>
  <c r="R74" i="6"/>
  <c r="I74" i="6"/>
  <c r="U74" i="6" s="1"/>
  <c r="AY70" i="6"/>
  <c r="H74" i="6"/>
  <c r="T74" i="6" s="1"/>
  <c r="P74" i="6"/>
  <c r="H76" i="12" a="1"/>
  <c r="H76" i="12" s="1"/>
  <c r="A76" i="6"/>
  <c r="D74" i="6"/>
  <c r="G74" i="6"/>
  <c r="C74" i="6"/>
  <c r="AX68" i="6" l="1"/>
  <c r="AH71" i="6"/>
  <c r="AG71" i="6"/>
  <c r="AY68" i="6"/>
  <c r="AT72" i="6"/>
  <c r="AU72" i="6" s="1"/>
  <c r="AD73" i="6"/>
  <c r="AF73" i="6"/>
  <c r="AE73" i="6"/>
  <c r="AF72" i="6"/>
  <c r="AE72" i="6"/>
  <c r="AD72" i="6"/>
  <c r="AS73" i="6"/>
  <c r="AR73" i="6"/>
  <c r="AQ73" i="6"/>
  <c r="AT73" i="6" s="1"/>
  <c r="AU73" i="6" s="1"/>
  <c r="AP74" i="6"/>
  <c r="AJ74" i="6" s="1"/>
  <c r="AM74" i="6"/>
  <c r="Y72" i="6"/>
  <c r="Y73" i="6"/>
  <c r="V74" i="6"/>
  <c r="Q74" i="6"/>
  <c r="I75" i="6"/>
  <c r="U75" i="6" s="1"/>
  <c r="R75" i="6"/>
  <c r="S74" i="6"/>
  <c r="D75" i="6"/>
  <c r="G75" i="6"/>
  <c r="C75" i="6"/>
  <c r="H77" i="12" a="1"/>
  <c r="H77" i="12" s="1"/>
  <c r="A77" i="6"/>
  <c r="AV71" i="6"/>
  <c r="AW71" i="6" s="1"/>
  <c r="AX71" i="6" s="1"/>
  <c r="P75" i="6"/>
  <c r="H75" i="6"/>
  <c r="T75" i="6" s="1"/>
  <c r="B76" i="6"/>
  <c r="E76" i="6" s="1"/>
  <c r="O76" i="6" a="1"/>
  <c r="O76" i="6" s="1"/>
  <c r="N76" i="6" a="1"/>
  <c r="N76" i="6" s="1"/>
  <c r="M76" i="6" a="1"/>
  <c r="M76" i="6" s="1"/>
  <c r="K76" i="6" a="1"/>
  <c r="K76" i="6" s="1"/>
  <c r="J76" i="6" a="1"/>
  <c r="J76" i="6" s="1"/>
  <c r="L76" i="6" a="1"/>
  <c r="L76" i="6" s="1"/>
  <c r="AH73" i="6" l="1"/>
  <c r="AG73" i="6"/>
  <c r="AH72" i="6"/>
  <c r="AG72" i="6"/>
  <c r="AI71" i="6"/>
  <c r="AL71" i="6" s="1"/>
  <c r="AP75" i="6"/>
  <c r="AJ75" i="6" s="1"/>
  <c r="AM75" i="6"/>
  <c r="AQ74" i="6"/>
  <c r="AS74" i="6"/>
  <c r="AR74" i="6"/>
  <c r="AA73" i="6"/>
  <c r="AB73" i="6" s="1"/>
  <c r="AA72" i="6"/>
  <c r="AC72" i="6" s="1"/>
  <c r="W74" i="6"/>
  <c r="X74" i="6" s="1"/>
  <c r="Z74" i="6" s="1"/>
  <c r="V75" i="6"/>
  <c r="S75" i="6"/>
  <c r="P76" i="6"/>
  <c r="H76" i="6"/>
  <c r="T76" i="6" s="1"/>
  <c r="B77" i="6"/>
  <c r="E77" i="6" s="1"/>
  <c r="L77" i="6" a="1"/>
  <c r="L77" i="6" s="1"/>
  <c r="N77" i="6" a="1"/>
  <c r="N77" i="6" s="1"/>
  <c r="M77" i="6" a="1"/>
  <c r="M77" i="6" s="1"/>
  <c r="J77" i="6" a="1"/>
  <c r="J77" i="6" s="1"/>
  <c r="O77" i="6" a="1"/>
  <c r="O77" i="6" s="1"/>
  <c r="K77" i="6" a="1"/>
  <c r="K77" i="6" s="1"/>
  <c r="H78" i="12" a="1"/>
  <c r="H78" i="12" s="1"/>
  <c r="A78" i="6"/>
  <c r="R76" i="6"/>
  <c r="I76" i="6"/>
  <c r="U76" i="6" s="1"/>
  <c r="C76" i="6"/>
  <c r="D76" i="6"/>
  <c r="G76" i="6"/>
  <c r="AY71" i="6"/>
  <c r="Q75" i="6"/>
  <c r="AI72" i="6" l="1"/>
  <c r="AL72" i="6" s="1"/>
  <c r="AT74" i="6"/>
  <c r="AU74" i="6" s="1"/>
  <c r="AI73" i="6"/>
  <c r="AL73" i="6" s="1"/>
  <c r="AE74" i="6"/>
  <c r="AF74" i="6"/>
  <c r="AD74" i="6"/>
  <c r="AM76" i="6"/>
  <c r="AP76" i="6"/>
  <c r="AJ76" i="6" s="1"/>
  <c r="AQ75" i="6"/>
  <c r="AR75" i="6"/>
  <c r="AS75" i="6"/>
  <c r="AB72" i="6"/>
  <c r="AV72" i="6" s="1"/>
  <c r="AW72" i="6" s="1"/>
  <c r="AX72" i="6" s="1"/>
  <c r="AC73" i="6"/>
  <c r="Y74" i="6"/>
  <c r="W75" i="6"/>
  <c r="Y75" i="6" s="1"/>
  <c r="AA75" i="6" s="1"/>
  <c r="Q76" i="6"/>
  <c r="P77" i="6"/>
  <c r="H77" i="6"/>
  <c r="T77" i="6" s="1"/>
  <c r="I77" i="6"/>
  <c r="U77" i="6" s="1"/>
  <c r="R77" i="6"/>
  <c r="S76" i="6"/>
  <c r="B78" i="6"/>
  <c r="E78" i="6" s="1"/>
  <c r="J78" i="6" a="1"/>
  <c r="J78" i="6" s="1"/>
  <c r="N78" i="6" a="1"/>
  <c r="N78" i="6" s="1"/>
  <c r="O78" i="6" a="1"/>
  <c r="O78" i="6" s="1"/>
  <c r="M78" i="6" a="1"/>
  <c r="M78" i="6" s="1"/>
  <c r="L78" i="6" a="1"/>
  <c r="L78" i="6" s="1"/>
  <c r="K78" i="6" a="1"/>
  <c r="K78" i="6" s="1"/>
  <c r="D77" i="6"/>
  <c r="G77" i="6"/>
  <c r="C77" i="6"/>
  <c r="H79" i="12" a="1"/>
  <c r="H79" i="12" s="1"/>
  <c r="A79" i="6"/>
  <c r="V76" i="6"/>
  <c r="W76" i="6" s="1"/>
  <c r="AH74" i="6" l="1"/>
  <c r="AG74" i="6"/>
  <c r="AM77" i="6"/>
  <c r="AP77" i="6"/>
  <c r="AJ77" i="6" s="1"/>
  <c r="AR76" i="6"/>
  <c r="AQ76" i="6"/>
  <c r="AS76" i="6"/>
  <c r="AA74" i="6"/>
  <c r="AC74" i="6" s="1"/>
  <c r="AV73" i="6"/>
  <c r="AW73" i="6" s="1"/>
  <c r="AX73" i="6" s="1"/>
  <c r="AY72" i="6"/>
  <c r="X75" i="6"/>
  <c r="S77" i="6"/>
  <c r="V77" i="6"/>
  <c r="H78" i="6"/>
  <c r="T78" i="6" s="1"/>
  <c r="P78" i="6"/>
  <c r="X76" i="6"/>
  <c r="Z76" i="6" s="1"/>
  <c r="Y76" i="6"/>
  <c r="AA76" i="6" s="1"/>
  <c r="B79" i="6"/>
  <c r="E79" i="6" s="1"/>
  <c r="J79" i="6" a="1"/>
  <c r="J79" i="6" s="1"/>
  <c r="O79" i="6" a="1"/>
  <c r="O79" i="6" s="1"/>
  <c r="N79" i="6" a="1"/>
  <c r="N79" i="6" s="1"/>
  <c r="L79" i="6" a="1"/>
  <c r="L79" i="6" s="1"/>
  <c r="M79" i="6" a="1"/>
  <c r="M79" i="6" s="1"/>
  <c r="K79" i="6" a="1"/>
  <c r="K79" i="6" s="1"/>
  <c r="C78" i="6"/>
  <c r="D78" i="6"/>
  <c r="G78" i="6"/>
  <c r="H80" i="12" a="1"/>
  <c r="H80" i="12" s="1"/>
  <c r="A80" i="6"/>
  <c r="I78" i="6"/>
  <c r="U78" i="6" s="1"/>
  <c r="R78" i="6"/>
  <c r="Q77" i="6"/>
  <c r="AT76" i="6" l="1"/>
  <c r="AU76" i="6" s="1"/>
  <c r="AI74" i="6"/>
  <c r="AL74" i="6" s="1"/>
  <c r="AF76" i="6"/>
  <c r="AE76" i="6"/>
  <c r="AD76" i="6"/>
  <c r="AB74" i="6"/>
  <c r="AM78" i="6"/>
  <c r="AP78" i="6"/>
  <c r="AJ78" i="6" s="1"/>
  <c r="AR77" i="6"/>
  <c r="AS77" i="6"/>
  <c r="AQ77" i="6"/>
  <c r="AY73" i="6"/>
  <c r="W77" i="6"/>
  <c r="X77" i="6" s="1"/>
  <c r="Z77" i="6" s="1"/>
  <c r="Z75" i="6"/>
  <c r="AT75" i="6" s="1"/>
  <c r="AU75" i="6" s="1"/>
  <c r="Q78" i="6"/>
  <c r="AB76" i="6"/>
  <c r="S78" i="6"/>
  <c r="H79" i="6"/>
  <c r="T79" i="6" s="1"/>
  <c r="P79" i="6"/>
  <c r="B80" i="6"/>
  <c r="E80" i="6" s="1"/>
  <c r="J80" i="6" a="1"/>
  <c r="J80" i="6" s="1"/>
  <c r="L80" i="6" a="1"/>
  <c r="L80" i="6" s="1"/>
  <c r="K80" i="6" a="1"/>
  <c r="K80" i="6" s="1"/>
  <c r="O80" i="6" a="1"/>
  <c r="O80" i="6" s="1"/>
  <c r="N80" i="6" a="1"/>
  <c r="N80" i="6" s="1"/>
  <c r="M80" i="6" a="1"/>
  <c r="M80" i="6" s="1"/>
  <c r="C79" i="6"/>
  <c r="D79" i="6"/>
  <c r="G79" i="6"/>
  <c r="H81" i="12" a="1"/>
  <c r="H81" i="12" s="1"/>
  <c r="A81" i="6"/>
  <c r="AC76" i="6"/>
  <c r="R79" i="6"/>
  <c r="I79" i="6"/>
  <c r="U79" i="6" s="1"/>
  <c r="V78" i="6"/>
  <c r="W78" i="6" s="1"/>
  <c r="AT77" i="6" l="1"/>
  <c r="AU77" i="6" s="1"/>
  <c r="AH76" i="6"/>
  <c r="AG76" i="6"/>
  <c r="AD75" i="6"/>
  <c r="AE75" i="6"/>
  <c r="AF75" i="6"/>
  <c r="AD77" i="6"/>
  <c r="AF77" i="6"/>
  <c r="AE77" i="6"/>
  <c r="AB75" i="6"/>
  <c r="AV74" i="6"/>
  <c r="AW74" i="6" s="1"/>
  <c r="AX74" i="6" s="1"/>
  <c r="AR78" i="6"/>
  <c r="AQ78" i="6"/>
  <c r="AS78" i="6"/>
  <c r="AM79" i="6"/>
  <c r="AP79" i="6"/>
  <c r="AJ79" i="6" s="1"/>
  <c r="AV76" i="6"/>
  <c r="Y77" i="6"/>
  <c r="AC75" i="6"/>
  <c r="Q79" i="6"/>
  <c r="P80" i="6"/>
  <c r="H80" i="6"/>
  <c r="T80" i="6" s="1"/>
  <c r="H82" i="12" a="1"/>
  <c r="H82" i="12" s="1"/>
  <c r="A82" i="6"/>
  <c r="C80" i="6"/>
  <c r="D80" i="6"/>
  <c r="G80" i="6"/>
  <c r="B81" i="6"/>
  <c r="E81" i="6" s="1"/>
  <c r="M81" i="6" a="1"/>
  <c r="M81" i="6" s="1"/>
  <c r="N81" i="6" a="1"/>
  <c r="N81" i="6" s="1"/>
  <c r="K81" i="6" a="1"/>
  <c r="K81" i="6" s="1"/>
  <c r="J81" i="6" a="1"/>
  <c r="J81" i="6" s="1"/>
  <c r="L81" i="6" a="1"/>
  <c r="L81" i="6" s="1"/>
  <c r="O81" i="6" a="1"/>
  <c r="O81" i="6" s="1"/>
  <c r="Y78" i="6"/>
  <c r="AA78" i="6" s="1"/>
  <c r="X78" i="6"/>
  <c r="Z78" i="6" s="1"/>
  <c r="S79" i="6"/>
  <c r="R80" i="6"/>
  <c r="I80" i="6"/>
  <c r="U80" i="6" s="1"/>
  <c r="V79" i="6"/>
  <c r="W79" i="6" s="1"/>
  <c r="AT78" i="6" l="1"/>
  <c r="AU78" i="6" s="1"/>
  <c r="AY74" i="6"/>
  <c r="AH77" i="6"/>
  <c r="AG77" i="6"/>
  <c r="AH75" i="6"/>
  <c r="AG75" i="6"/>
  <c r="AW76" i="6"/>
  <c r="AI76" i="6"/>
  <c r="AL76" i="6" s="1"/>
  <c r="AF78" i="6"/>
  <c r="AE78" i="6"/>
  <c r="AD78" i="6"/>
  <c r="AR79" i="6"/>
  <c r="AQ79" i="6"/>
  <c r="AS79" i="6"/>
  <c r="AM80" i="6"/>
  <c r="AP80" i="6"/>
  <c r="AJ80" i="6" s="1"/>
  <c r="AA77" i="6"/>
  <c r="AB77" i="6" s="1"/>
  <c r="AV75" i="6"/>
  <c r="AW75" i="6" s="1"/>
  <c r="AX75" i="6" s="1"/>
  <c r="X79" i="6"/>
  <c r="Z79" i="6" s="1"/>
  <c r="Y79" i="6"/>
  <c r="AA79" i="6" s="1"/>
  <c r="S80" i="6"/>
  <c r="G81" i="6"/>
  <c r="C81" i="6"/>
  <c r="D81" i="6"/>
  <c r="B82" i="6"/>
  <c r="E82" i="6" s="1"/>
  <c r="N82" i="6" a="1"/>
  <c r="N82" i="6" s="1"/>
  <c r="M82" i="6" a="1"/>
  <c r="M82" i="6" s="1"/>
  <c r="L82" i="6" a="1"/>
  <c r="L82" i="6" s="1"/>
  <c r="J82" i="6" a="1"/>
  <c r="J82" i="6" s="1"/>
  <c r="O82" i="6" a="1"/>
  <c r="O82" i="6" s="1"/>
  <c r="K82" i="6" a="1"/>
  <c r="K82" i="6" s="1"/>
  <c r="H83" i="12" a="1"/>
  <c r="H83" i="12" s="1"/>
  <c r="A83" i="6"/>
  <c r="H81" i="6"/>
  <c r="T81" i="6" s="1"/>
  <c r="P81" i="6"/>
  <c r="V80" i="6"/>
  <c r="W80" i="6" s="1"/>
  <c r="Q80" i="6"/>
  <c r="I81" i="6"/>
  <c r="U81" i="6" s="1"/>
  <c r="R81" i="6"/>
  <c r="AB78" i="6"/>
  <c r="AC78" i="6"/>
  <c r="AT79" i="6" l="1"/>
  <c r="AU79" i="6" s="1"/>
  <c r="AI77" i="6"/>
  <c r="AL77" i="6" s="1"/>
  <c r="AX76" i="6"/>
  <c r="AY76" i="6"/>
  <c r="AI75" i="6"/>
  <c r="AL75" i="6" s="1"/>
  <c r="AG78" i="6"/>
  <c r="AH78" i="6"/>
  <c r="AE79" i="6"/>
  <c r="AF79" i="6"/>
  <c r="AD79" i="6"/>
  <c r="AS80" i="6"/>
  <c r="AR80" i="6"/>
  <c r="AQ80" i="6"/>
  <c r="AM81" i="6"/>
  <c r="AP81" i="6"/>
  <c r="AJ81" i="6" s="1"/>
  <c r="AC77" i="6"/>
  <c r="AY75" i="6"/>
  <c r="S81" i="6"/>
  <c r="Q81" i="6"/>
  <c r="AB79" i="6"/>
  <c r="AV78" i="6"/>
  <c r="AW78" i="6" s="1"/>
  <c r="AX78" i="6" s="1"/>
  <c r="I82" i="6"/>
  <c r="U82" i="6" s="1"/>
  <c r="R82" i="6"/>
  <c r="H82" i="6"/>
  <c r="T82" i="6" s="1"/>
  <c r="P82" i="6"/>
  <c r="X80" i="6"/>
  <c r="Z80" i="6" s="1"/>
  <c r="Y80" i="6"/>
  <c r="AA80" i="6" s="1"/>
  <c r="V81" i="6"/>
  <c r="W81" i="6" s="1"/>
  <c r="B83" i="6"/>
  <c r="E83" i="6" s="1"/>
  <c r="J83" i="6" a="1"/>
  <c r="J83" i="6" s="1"/>
  <c r="N83" i="6" a="1"/>
  <c r="N83" i="6" s="1"/>
  <c r="M83" i="6" a="1"/>
  <c r="M83" i="6" s="1"/>
  <c r="K83" i="6" a="1"/>
  <c r="K83" i="6" s="1"/>
  <c r="L83" i="6" a="1"/>
  <c r="L83" i="6" s="1"/>
  <c r="O83" i="6" a="1"/>
  <c r="O83" i="6" s="1"/>
  <c r="D82" i="6"/>
  <c r="G82" i="6"/>
  <c r="C82" i="6"/>
  <c r="H84" i="12" a="1"/>
  <c r="H84" i="12" s="1"/>
  <c r="A84" i="6"/>
  <c r="AC79" i="6"/>
  <c r="AT80" i="6" l="1"/>
  <c r="AU80" i="6" s="1"/>
  <c r="AI78" i="6"/>
  <c r="AL78" i="6" s="1"/>
  <c r="AH79" i="6"/>
  <c r="AG79" i="6"/>
  <c r="AF80" i="6"/>
  <c r="AE80" i="6"/>
  <c r="AD80" i="6"/>
  <c r="AP82" i="6"/>
  <c r="AJ82" i="6" s="1"/>
  <c r="AM82" i="6"/>
  <c r="AS81" i="6"/>
  <c r="AR81" i="6"/>
  <c r="AQ81" i="6"/>
  <c r="AV77" i="6"/>
  <c r="AW77" i="6" s="1"/>
  <c r="AX77" i="6" s="1"/>
  <c r="AB80" i="6"/>
  <c r="V82" i="6"/>
  <c r="S82" i="6"/>
  <c r="Q82" i="6"/>
  <c r="AC80" i="6"/>
  <c r="R83" i="6"/>
  <c r="I83" i="6"/>
  <c r="U83" i="6" s="1"/>
  <c r="AY78" i="6"/>
  <c r="P83" i="6"/>
  <c r="H83" i="6"/>
  <c r="T83" i="6" s="1"/>
  <c r="H85" i="12" a="1"/>
  <c r="H85" i="12" s="1"/>
  <c r="A85" i="6"/>
  <c r="D83" i="6"/>
  <c r="G83" i="6"/>
  <c r="C83" i="6"/>
  <c r="B84" i="6"/>
  <c r="E84" i="6" s="1"/>
  <c r="L84" i="6" a="1"/>
  <c r="L84" i="6" s="1"/>
  <c r="K84" i="6" a="1"/>
  <c r="K84" i="6" s="1"/>
  <c r="O84" i="6" a="1"/>
  <c r="O84" i="6" s="1"/>
  <c r="N84" i="6" a="1"/>
  <c r="N84" i="6" s="1"/>
  <c r="J84" i="6" a="1"/>
  <c r="J84" i="6" s="1"/>
  <c r="M84" i="6" a="1"/>
  <c r="M84" i="6" s="1"/>
  <c r="AV79" i="6"/>
  <c r="AW79" i="6" s="1"/>
  <c r="AX79" i="6" s="1"/>
  <c r="Y81" i="6"/>
  <c r="AA81" i="6" s="1"/>
  <c r="X81" i="6"/>
  <c r="Z81" i="6" s="1"/>
  <c r="AI79" i="6" l="1"/>
  <c r="AL79" i="6" s="1"/>
  <c r="AT81" i="6"/>
  <c r="AU81" i="6" s="1"/>
  <c r="AG80" i="6"/>
  <c r="AH80" i="6"/>
  <c r="AF81" i="6"/>
  <c r="AE81" i="6"/>
  <c r="AD81" i="6"/>
  <c r="AP83" i="6"/>
  <c r="AJ83" i="6" s="1"/>
  <c r="AM83" i="6"/>
  <c r="AS82" i="6"/>
  <c r="AQ82" i="6"/>
  <c r="AR82" i="6"/>
  <c r="AY77" i="6"/>
  <c r="W82" i="6"/>
  <c r="Y82" i="6" s="1"/>
  <c r="AA82" i="6" s="1"/>
  <c r="S83" i="6"/>
  <c r="AY79" i="6"/>
  <c r="AC81" i="6"/>
  <c r="AB81" i="6"/>
  <c r="C84" i="6"/>
  <c r="D84" i="6"/>
  <c r="G84" i="6"/>
  <c r="V83" i="6"/>
  <c r="W83" i="6" s="1"/>
  <c r="I84" i="6"/>
  <c r="U84" i="6" s="1"/>
  <c r="R84" i="6"/>
  <c r="Q83" i="6"/>
  <c r="AV80" i="6"/>
  <c r="AW80" i="6" s="1"/>
  <c r="AX80" i="6" s="1"/>
  <c r="H84" i="6"/>
  <c r="T84" i="6" s="1"/>
  <c r="P84" i="6"/>
  <c r="B85" i="6"/>
  <c r="E85" i="6" s="1"/>
  <c r="M85" i="6" a="1"/>
  <c r="M85" i="6" s="1"/>
  <c r="O85" i="6" a="1"/>
  <c r="O85" i="6" s="1"/>
  <c r="N85" i="6" a="1"/>
  <c r="N85" i="6" s="1"/>
  <c r="K85" i="6" a="1"/>
  <c r="K85" i="6" s="1"/>
  <c r="J85" i="6" a="1"/>
  <c r="J85" i="6" s="1"/>
  <c r="L85" i="6" a="1"/>
  <c r="L85" i="6" s="1"/>
  <c r="H86" i="12" a="1"/>
  <c r="H86" i="12" s="1"/>
  <c r="A86" i="6"/>
  <c r="AI80" i="6" l="1"/>
  <c r="AL80" i="6" s="1"/>
  <c r="AH81" i="6"/>
  <c r="AG81" i="6"/>
  <c r="AM84" i="6"/>
  <c r="AP84" i="6"/>
  <c r="AJ84" i="6" s="1"/>
  <c r="AQ83" i="6"/>
  <c r="AS83" i="6"/>
  <c r="AR83" i="6"/>
  <c r="X82" i="6"/>
  <c r="Z82" i="6" s="1"/>
  <c r="AT82" i="6" s="1"/>
  <c r="AU82" i="6" s="1"/>
  <c r="S84" i="6"/>
  <c r="V84" i="6"/>
  <c r="AY80" i="6"/>
  <c r="I85" i="6"/>
  <c r="U85" i="6" s="1"/>
  <c r="R85" i="6"/>
  <c r="B86" i="6"/>
  <c r="E86" i="6" s="1"/>
  <c r="O86" i="6" a="1"/>
  <c r="O86" i="6" s="1"/>
  <c r="K86" i="6" a="1"/>
  <c r="K86" i="6" s="1"/>
  <c r="J86" i="6" a="1"/>
  <c r="J86" i="6" s="1"/>
  <c r="N86" i="6" a="1"/>
  <c r="N86" i="6" s="1"/>
  <c r="M86" i="6" a="1"/>
  <c r="M86" i="6" s="1"/>
  <c r="L86" i="6" a="1"/>
  <c r="L86" i="6" s="1"/>
  <c r="C85" i="6"/>
  <c r="D85" i="6"/>
  <c r="G85" i="6"/>
  <c r="H87" i="12" a="1"/>
  <c r="H87" i="12" s="1"/>
  <c r="A87" i="6"/>
  <c r="Q84" i="6"/>
  <c r="X83" i="6"/>
  <c r="Z83" i="6" s="1"/>
  <c r="Y83" i="6"/>
  <c r="AA83" i="6" s="1"/>
  <c r="H85" i="6"/>
  <c r="T85" i="6" s="1"/>
  <c r="P85" i="6"/>
  <c r="AV81" i="6"/>
  <c r="AW81" i="6" s="1"/>
  <c r="AX81" i="6" s="1"/>
  <c r="AI81" i="6" l="1"/>
  <c r="AL81" i="6" s="1"/>
  <c r="AT83" i="6"/>
  <c r="AU83" i="6" s="1"/>
  <c r="AE83" i="6"/>
  <c r="AF83" i="6"/>
  <c r="AD82" i="6"/>
  <c r="AE82" i="6"/>
  <c r="AF82" i="6"/>
  <c r="AD83" i="6"/>
  <c r="AB82" i="6"/>
  <c r="AM85" i="6"/>
  <c r="AP85" i="6"/>
  <c r="AJ85" i="6" s="1"/>
  <c r="AR84" i="6"/>
  <c r="AQ84" i="6"/>
  <c r="AS84" i="6"/>
  <c r="AC82" i="6"/>
  <c r="W84" i="6"/>
  <c r="Y84" i="6" s="1"/>
  <c r="AA84" i="6" s="1"/>
  <c r="V85" i="6"/>
  <c r="S85" i="6"/>
  <c r="AC83" i="6"/>
  <c r="Q85" i="6"/>
  <c r="AB83" i="6"/>
  <c r="AY81" i="6"/>
  <c r="C86" i="6"/>
  <c r="D86" i="6"/>
  <c r="G86" i="6"/>
  <c r="H88" i="12" a="1"/>
  <c r="H88" i="12" s="1"/>
  <c r="A88" i="6"/>
  <c r="B87" i="6"/>
  <c r="E87" i="6" s="1"/>
  <c r="M87" i="6" a="1"/>
  <c r="M87" i="6" s="1"/>
  <c r="L87" i="6" a="1"/>
  <c r="L87" i="6" s="1"/>
  <c r="K87" i="6" a="1"/>
  <c r="K87" i="6" s="1"/>
  <c r="N87" i="6" a="1"/>
  <c r="N87" i="6" s="1"/>
  <c r="J87" i="6" a="1"/>
  <c r="J87" i="6" s="1"/>
  <c r="O87" i="6" a="1"/>
  <c r="O87" i="6" s="1"/>
  <c r="R86" i="6"/>
  <c r="I86" i="6"/>
  <c r="U86" i="6" s="1"/>
  <c r="H86" i="6"/>
  <c r="T86" i="6" s="1"/>
  <c r="P86" i="6"/>
  <c r="AH83" i="6" l="1"/>
  <c r="AG83" i="6"/>
  <c r="AH82" i="6"/>
  <c r="AG82" i="6"/>
  <c r="X84" i="6"/>
  <c r="Z84" i="6" s="1"/>
  <c r="AT84" i="6" s="1"/>
  <c r="AU84" i="6" s="1"/>
  <c r="AM86" i="6"/>
  <c r="AP86" i="6"/>
  <c r="AJ86" i="6" s="1"/>
  <c r="AS85" i="6"/>
  <c r="AQ85" i="6"/>
  <c r="AR85" i="6"/>
  <c r="AV82" i="6"/>
  <c r="AW82" i="6" s="1"/>
  <c r="AX82" i="6" s="1"/>
  <c r="W85" i="6"/>
  <c r="X85" i="6" s="1"/>
  <c r="Z85" i="6" s="1"/>
  <c r="V86" i="6"/>
  <c r="Q86" i="6"/>
  <c r="C87" i="6"/>
  <c r="D87" i="6"/>
  <c r="G87" i="6"/>
  <c r="S86" i="6"/>
  <c r="H87" i="6"/>
  <c r="T87" i="6" s="1"/>
  <c r="P87" i="6"/>
  <c r="I87" i="6"/>
  <c r="U87" i="6" s="1"/>
  <c r="R87" i="6"/>
  <c r="B88" i="6"/>
  <c r="E88" i="6" s="1"/>
  <c r="N88" i="6" a="1"/>
  <c r="N88" i="6" s="1"/>
  <c r="J88" i="6" a="1"/>
  <c r="J88" i="6" s="1"/>
  <c r="L88" i="6" a="1"/>
  <c r="L88" i="6" s="1"/>
  <c r="K88" i="6" a="1"/>
  <c r="K88" i="6" s="1"/>
  <c r="O88" i="6" a="1"/>
  <c r="O88" i="6" s="1"/>
  <c r="M88" i="6" a="1"/>
  <c r="M88" i="6" s="1"/>
  <c r="AV83" i="6"/>
  <c r="AW83" i="6" s="1"/>
  <c r="AX83" i="6" s="1"/>
  <c r="H89" i="12" a="1"/>
  <c r="H89" i="12" s="1"/>
  <c r="A89" i="6"/>
  <c r="AT85" i="6" l="1"/>
  <c r="AU85" i="6" s="1"/>
  <c r="AI82" i="6"/>
  <c r="AL82" i="6" s="1"/>
  <c r="AI83" i="6"/>
  <c r="AL83" i="6" s="1"/>
  <c r="AF85" i="6"/>
  <c r="AE85" i="6"/>
  <c r="AD84" i="6"/>
  <c r="AF84" i="6"/>
  <c r="AE84" i="6"/>
  <c r="AD85" i="6"/>
  <c r="AC84" i="6"/>
  <c r="AR86" i="6"/>
  <c r="AQ86" i="6"/>
  <c r="AS86" i="6"/>
  <c r="AM87" i="6"/>
  <c r="AP87" i="6"/>
  <c r="AJ87" i="6" s="1"/>
  <c r="AY82" i="6"/>
  <c r="AB84" i="6"/>
  <c r="Y85" i="6"/>
  <c r="W86" i="6"/>
  <c r="Y86" i="6" s="1"/>
  <c r="AA86" i="6" s="1"/>
  <c r="V87" i="6"/>
  <c r="S87" i="6"/>
  <c r="P88" i="6"/>
  <c r="H88" i="6"/>
  <c r="T88" i="6" s="1"/>
  <c r="Q87" i="6"/>
  <c r="H90" i="12" a="1"/>
  <c r="H90" i="12" s="1"/>
  <c r="A90" i="6"/>
  <c r="C88" i="6"/>
  <c r="D88" i="6"/>
  <c r="G88" i="6"/>
  <c r="AY83" i="6"/>
  <c r="R88" i="6"/>
  <c r="I88" i="6"/>
  <c r="U88" i="6" s="1"/>
  <c r="B89" i="6"/>
  <c r="E89" i="6" s="1"/>
  <c r="L89" i="6" a="1"/>
  <c r="L89" i="6" s="1"/>
  <c r="N89" i="6" a="1"/>
  <c r="N89" i="6" s="1"/>
  <c r="M89" i="6" a="1"/>
  <c r="M89" i="6" s="1"/>
  <c r="K89" i="6" a="1"/>
  <c r="K89" i="6" s="1"/>
  <c r="O89" i="6" a="1"/>
  <c r="O89" i="6" s="1"/>
  <c r="J89" i="6" a="1"/>
  <c r="J89" i="6" s="1"/>
  <c r="AH84" i="6" l="1"/>
  <c r="AG84" i="6"/>
  <c r="AH85" i="6"/>
  <c r="AG85" i="6"/>
  <c r="AR87" i="6"/>
  <c r="AQ87" i="6"/>
  <c r="AS87" i="6"/>
  <c r="AM88" i="6"/>
  <c r="AP88" i="6"/>
  <c r="AJ88" i="6" s="1"/>
  <c r="AA85" i="6"/>
  <c r="AB85" i="6" s="1"/>
  <c r="AV84" i="6"/>
  <c r="X86" i="6"/>
  <c r="Z86" i="6" s="1"/>
  <c r="AT86" i="6" s="1"/>
  <c r="AU86" i="6" s="1"/>
  <c r="W87" i="6"/>
  <c r="X87" i="6" s="1"/>
  <c r="G89" i="6"/>
  <c r="C89" i="6"/>
  <c r="D89" i="6"/>
  <c r="S88" i="6"/>
  <c r="H89" i="6"/>
  <c r="T89" i="6" s="1"/>
  <c r="P89" i="6"/>
  <c r="B90" i="6"/>
  <c r="E90" i="6" s="1"/>
  <c r="N90" i="6" a="1"/>
  <c r="N90" i="6" s="1"/>
  <c r="O90" i="6" a="1"/>
  <c r="O90" i="6" s="1"/>
  <c r="M90" i="6" a="1"/>
  <c r="M90" i="6" s="1"/>
  <c r="L90" i="6" a="1"/>
  <c r="L90" i="6" s="1"/>
  <c r="K90" i="6" a="1"/>
  <c r="K90" i="6" s="1"/>
  <c r="J90" i="6" a="1"/>
  <c r="J90" i="6" s="1"/>
  <c r="H91" i="12" a="1"/>
  <c r="H91" i="12" s="1"/>
  <c r="A91" i="6"/>
  <c r="I89" i="6"/>
  <c r="U89" i="6" s="1"/>
  <c r="R89" i="6"/>
  <c r="V88" i="6"/>
  <c r="W88" i="6" s="1"/>
  <c r="Q88" i="6"/>
  <c r="AI85" i="6" l="1"/>
  <c r="AL85" i="6" s="1"/>
  <c r="AW84" i="6"/>
  <c r="AI84" i="6"/>
  <c r="AL84" i="6" s="1"/>
  <c r="AD86" i="6"/>
  <c r="AF86" i="6"/>
  <c r="AE86" i="6"/>
  <c r="AB86" i="6"/>
  <c r="AM89" i="6"/>
  <c r="AP89" i="6"/>
  <c r="AJ89" i="6" s="1"/>
  <c r="AS88" i="6"/>
  <c r="AR88" i="6"/>
  <c r="AQ88" i="6"/>
  <c r="AC85" i="6"/>
  <c r="Z87" i="6"/>
  <c r="AT87" i="6" s="1"/>
  <c r="AU87" i="6" s="1"/>
  <c r="Y87" i="6"/>
  <c r="AA87" i="6" s="1"/>
  <c r="AC86" i="6"/>
  <c r="S89" i="6"/>
  <c r="H90" i="6"/>
  <c r="T90" i="6" s="1"/>
  <c r="P90" i="6"/>
  <c r="Q89" i="6"/>
  <c r="I90" i="6"/>
  <c r="U90" i="6" s="1"/>
  <c r="R90" i="6"/>
  <c r="V89" i="6"/>
  <c r="W89" i="6" s="1"/>
  <c r="X88" i="6"/>
  <c r="Z88" i="6" s="1"/>
  <c r="Y88" i="6"/>
  <c r="AA88" i="6" s="1"/>
  <c r="B91" i="6"/>
  <c r="E91" i="6" s="1"/>
  <c r="J91" i="6" a="1"/>
  <c r="J91" i="6" s="1"/>
  <c r="O91" i="6" a="1"/>
  <c r="O91" i="6" s="1"/>
  <c r="N91" i="6" a="1"/>
  <c r="N91" i="6" s="1"/>
  <c r="L91" i="6" a="1"/>
  <c r="L91" i="6" s="1"/>
  <c r="K91" i="6" a="1"/>
  <c r="K91" i="6" s="1"/>
  <c r="M91" i="6" a="1"/>
  <c r="M91" i="6" s="1"/>
  <c r="D90" i="6"/>
  <c r="G90" i="6"/>
  <c r="C90" i="6"/>
  <c r="H92" i="12" a="1"/>
  <c r="H92" i="12" s="1"/>
  <c r="A92" i="6"/>
  <c r="AT88" i="6" l="1"/>
  <c r="AU88" i="6" s="1"/>
  <c r="AH86" i="6"/>
  <c r="AG86" i="6"/>
  <c r="AV85" i="6"/>
  <c r="AW85" i="6" s="1"/>
  <c r="AY85" i="6" s="1"/>
  <c r="AX84" i="6"/>
  <c r="AY84" i="6"/>
  <c r="AE87" i="6"/>
  <c r="AF87" i="6"/>
  <c r="AF88" i="6"/>
  <c r="AE88" i="6"/>
  <c r="AD87" i="6"/>
  <c r="AD88" i="6"/>
  <c r="AM90" i="6"/>
  <c r="AP90" i="6"/>
  <c r="AJ90" i="6" s="1"/>
  <c r="AS89" i="6"/>
  <c r="AR89" i="6"/>
  <c r="AQ89" i="6"/>
  <c r="AC87" i="6"/>
  <c r="AB87" i="6"/>
  <c r="AV86" i="6"/>
  <c r="AW86" i="6" s="1"/>
  <c r="AX86" i="6" s="1"/>
  <c r="S90" i="6"/>
  <c r="AC88" i="6"/>
  <c r="Q90" i="6"/>
  <c r="X89" i="6"/>
  <c r="Z89" i="6" s="1"/>
  <c r="Y89" i="6"/>
  <c r="AA89" i="6" s="1"/>
  <c r="H91" i="6"/>
  <c r="T91" i="6" s="1"/>
  <c r="P91" i="6"/>
  <c r="B92" i="6"/>
  <c r="E92" i="6" s="1"/>
  <c r="K92" i="6" a="1"/>
  <c r="K92" i="6" s="1"/>
  <c r="L92" i="6" a="1"/>
  <c r="L92" i="6" s="1"/>
  <c r="J92" i="6" a="1"/>
  <c r="J92" i="6" s="1"/>
  <c r="O92" i="6" a="1"/>
  <c r="O92" i="6" s="1"/>
  <c r="N92" i="6" a="1"/>
  <c r="N92" i="6" s="1"/>
  <c r="M92" i="6" a="1"/>
  <c r="M92" i="6" s="1"/>
  <c r="D91" i="6"/>
  <c r="G91" i="6"/>
  <c r="C91" i="6"/>
  <c r="H93" i="12" a="1"/>
  <c r="H93" i="12" s="1"/>
  <c r="A93" i="6"/>
  <c r="I91" i="6"/>
  <c r="U91" i="6" s="1"/>
  <c r="R91" i="6"/>
  <c r="AB88" i="6"/>
  <c r="V90" i="6"/>
  <c r="W90" i="6" s="1"/>
  <c r="AT89" i="6" l="1"/>
  <c r="AU89" i="6" s="1"/>
  <c r="AX85" i="6"/>
  <c r="AH88" i="6"/>
  <c r="AG88" i="6"/>
  <c r="AH87" i="6"/>
  <c r="AG87" i="6"/>
  <c r="AI86" i="6"/>
  <c r="AL86" i="6" s="1"/>
  <c r="AF89" i="6"/>
  <c r="AE89" i="6"/>
  <c r="AD89" i="6"/>
  <c r="AS90" i="6"/>
  <c r="AR90" i="6"/>
  <c r="AQ90" i="6"/>
  <c r="AP91" i="6"/>
  <c r="AJ91" i="6" s="1"/>
  <c r="AM91" i="6"/>
  <c r="AV87" i="6"/>
  <c r="AW87" i="6" s="1"/>
  <c r="AX87" i="6" s="1"/>
  <c r="AY86" i="6"/>
  <c r="S91" i="6"/>
  <c r="AB89" i="6"/>
  <c r="I92" i="6"/>
  <c r="U92" i="6" s="1"/>
  <c r="R92" i="6"/>
  <c r="V91" i="6"/>
  <c r="W91" i="6" s="1"/>
  <c r="P92" i="6"/>
  <c r="H92" i="6"/>
  <c r="T92" i="6" s="1"/>
  <c r="AC89" i="6"/>
  <c r="B93" i="6"/>
  <c r="E93" i="6" s="1"/>
  <c r="L93" i="6" a="1"/>
  <c r="L93" i="6" s="1"/>
  <c r="N93" i="6" a="1"/>
  <c r="N93" i="6" s="1"/>
  <c r="M93" i="6" a="1"/>
  <c r="M93" i="6" s="1"/>
  <c r="K93" i="6" a="1"/>
  <c r="K93" i="6" s="1"/>
  <c r="J93" i="6" a="1"/>
  <c r="J93" i="6" s="1"/>
  <c r="O93" i="6" a="1"/>
  <c r="O93" i="6" s="1"/>
  <c r="X90" i="6"/>
  <c r="Z90" i="6" s="1"/>
  <c r="Y90" i="6"/>
  <c r="AA90" i="6" s="1"/>
  <c r="C92" i="6"/>
  <c r="D92" i="6"/>
  <c r="G92" i="6"/>
  <c r="H94" i="12" a="1"/>
  <c r="H94" i="12" s="1"/>
  <c r="A94" i="6"/>
  <c r="AV88" i="6"/>
  <c r="AW88" i="6" s="1"/>
  <c r="AX88" i="6" s="1"/>
  <c r="Q91" i="6"/>
  <c r="AT90" i="6" l="1"/>
  <c r="AU90" i="6" s="1"/>
  <c r="AI87" i="6"/>
  <c r="AL87" i="6" s="1"/>
  <c r="AI88" i="6"/>
  <c r="AL88" i="6" s="1"/>
  <c r="AH89" i="6"/>
  <c r="AG89" i="6"/>
  <c r="AE90" i="6"/>
  <c r="AF90" i="6"/>
  <c r="AD90" i="6"/>
  <c r="AQ91" i="6"/>
  <c r="AS91" i="6"/>
  <c r="AR91" i="6"/>
  <c r="AM92" i="6"/>
  <c r="AP92" i="6"/>
  <c r="AJ92" i="6" s="1"/>
  <c r="AY87" i="6"/>
  <c r="V92" i="6"/>
  <c r="W92" i="6" s="1"/>
  <c r="X92" i="6" s="1"/>
  <c r="Z92" i="6" s="1"/>
  <c r="AV89" i="6"/>
  <c r="AW89" i="6" s="1"/>
  <c r="AX89" i="6" s="1"/>
  <c r="S92" i="6"/>
  <c r="B94" i="6"/>
  <c r="E94" i="6" s="1"/>
  <c r="L94" i="6" a="1"/>
  <c r="L94" i="6" s="1"/>
  <c r="O94" i="6" a="1"/>
  <c r="O94" i="6" s="1"/>
  <c r="K94" i="6" a="1"/>
  <c r="K94" i="6" s="1"/>
  <c r="N94" i="6" a="1"/>
  <c r="N94" i="6" s="1"/>
  <c r="J94" i="6" a="1"/>
  <c r="J94" i="6" s="1"/>
  <c r="M94" i="6" a="1"/>
  <c r="M94" i="6" s="1"/>
  <c r="C93" i="6"/>
  <c r="D93" i="6"/>
  <c r="G93" i="6"/>
  <c r="H95" i="12" a="1"/>
  <c r="H95" i="12" s="1"/>
  <c r="A95" i="6"/>
  <c r="AB90" i="6"/>
  <c r="AC90" i="6"/>
  <c r="Q92" i="6"/>
  <c r="H93" i="6"/>
  <c r="T93" i="6" s="1"/>
  <c r="P93" i="6"/>
  <c r="X91" i="6"/>
  <c r="Z91" i="6" s="1"/>
  <c r="Y91" i="6"/>
  <c r="AA91" i="6" s="1"/>
  <c r="AY88" i="6"/>
  <c r="I93" i="6"/>
  <c r="U93" i="6" s="1"/>
  <c r="R93" i="6"/>
  <c r="AT91" i="6" l="1"/>
  <c r="AU91" i="6" s="1"/>
  <c r="AI89" i="6"/>
  <c r="AL89" i="6" s="1"/>
  <c r="AH90" i="6"/>
  <c r="AG90" i="6"/>
  <c r="AE91" i="6"/>
  <c r="AF91" i="6"/>
  <c r="AD92" i="6"/>
  <c r="AF92" i="6"/>
  <c r="AE92" i="6"/>
  <c r="AD91" i="6"/>
  <c r="AR92" i="6"/>
  <c r="AQ92" i="6"/>
  <c r="AT92" i="6" s="1"/>
  <c r="AU92" i="6" s="1"/>
  <c r="AS92" i="6"/>
  <c r="AM93" i="6"/>
  <c r="AP93" i="6"/>
  <c r="AJ93" i="6" s="1"/>
  <c r="Y92" i="6"/>
  <c r="AA92" i="6" s="1"/>
  <c r="AC92" i="6" s="1"/>
  <c r="S93" i="6"/>
  <c r="AY89" i="6"/>
  <c r="Q93" i="6"/>
  <c r="AB91" i="6"/>
  <c r="V93" i="6"/>
  <c r="H96" i="12" a="1"/>
  <c r="H96" i="12" s="1"/>
  <c r="A97" i="6" s="1"/>
  <c r="B1" i="13" s="1"/>
  <c r="A96" i="6"/>
  <c r="C94" i="6"/>
  <c r="D94" i="6"/>
  <c r="G94" i="6"/>
  <c r="I94" i="6"/>
  <c r="U94" i="6" s="1"/>
  <c r="R94" i="6"/>
  <c r="AV90" i="6"/>
  <c r="AW90" i="6" s="1"/>
  <c r="AX90" i="6" s="1"/>
  <c r="H94" i="6"/>
  <c r="T94" i="6" s="1"/>
  <c r="P94" i="6"/>
  <c r="AC91" i="6"/>
  <c r="B95" i="6"/>
  <c r="E95" i="6" s="1"/>
  <c r="J95" i="6" a="1"/>
  <c r="J95" i="6" s="1"/>
  <c r="O95" i="6" a="1"/>
  <c r="O95" i="6" s="1"/>
  <c r="M95" i="6" a="1"/>
  <c r="M95" i="6" s="1"/>
  <c r="L95" i="6" a="1"/>
  <c r="L95" i="6" s="1"/>
  <c r="K95" i="6" a="1"/>
  <c r="K95" i="6" s="1"/>
  <c r="N95" i="6" a="1"/>
  <c r="N95" i="6" s="1"/>
  <c r="B10" i="13" l="1"/>
  <c r="B3" i="13"/>
  <c r="AH92" i="6"/>
  <c r="AG92" i="6"/>
  <c r="AG91" i="6"/>
  <c r="AH91" i="6"/>
  <c r="AI90" i="6"/>
  <c r="AL90" i="6" s="1"/>
  <c r="AB92" i="6"/>
  <c r="AV92" i="6" s="1"/>
  <c r="AW92" i="6" s="1"/>
  <c r="AX92" i="6" s="1"/>
  <c r="AQ93" i="6"/>
  <c r="AS93" i="6"/>
  <c r="AR93" i="6"/>
  <c r="AM94" i="6"/>
  <c r="AP94" i="6"/>
  <c r="AJ94" i="6" s="1"/>
  <c r="W93" i="6"/>
  <c r="Y93" i="6" s="1"/>
  <c r="AA93" i="6" s="1"/>
  <c r="AV91" i="6"/>
  <c r="B2" i="13"/>
  <c r="B3" i="14" s="1"/>
  <c r="B9" i="13"/>
  <c r="B5" i="13"/>
  <c r="B7" i="13"/>
  <c r="D8" i="14" s="1"/>
  <c r="S94" i="6"/>
  <c r="Q94" i="6"/>
  <c r="V94" i="6"/>
  <c r="AY90" i="6"/>
  <c r="R95" i="6"/>
  <c r="I95" i="6"/>
  <c r="U95" i="6" s="1"/>
  <c r="P95" i="6"/>
  <c r="H95" i="6"/>
  <c r="T95" i="6" s="1"/>
  <c r="C95" i="6"/>
  <c r="D95" i="6"/>
  <c r="G95" i="6"/>
  <c r="B96" i="6"/>
  <c r="E96" i="6" s="1"/>
  <c r="K96" i="6" a="1"/>
  <c r="K96" i="6" s="1"/>
  <c r="O96" i="6" a="1"/>
  <c r="O96" i="6" s="1"/>
  <c r="N96" i="6" a="1"/>
  <c r="N96" i="6" s="1"/>
  <c r="M96" i="6" a="1"/>
  <c r="M96" i="6" s="1"/>
  <c r="L96" i="6" a="1"/>
  <c r="L96" i="6" s="1"/>
  <c r="J96" i="6" a="1"/>
  <c r="J96" i="6" s="1"/>
  <c r="B97" i="6"/>
  <c r="E97" i="6" s="1"/>
  <c r="O97" i="6" a="1"/>
  <c r="O97" i="6" s="1"/>
  <c r="M97" i="6" a="1"/>
  <c r="M97" i="6" s="1"/>
  <c r="N97" i="6" a="1"/>
  <c r="N97" i="6" s="1"/>
  <c r="L97" i="6" a="1"/>
  <c r="L97" i="6" s="1"/>
  <c r="K97" i="6" a="1"/>
  <c r="K97" i="6" s="1"/>
  <c r="J97" i="6" a="1"/>
  <c r="J97" i="6" s="1"/>
  <c r="B4" i="14" l="1"/>
  <c r="AI92" i="6"/>
  <c r="AL92" i="6" s="1"/>
  <c r="AI91" i="6"/>
  <c r="AL91" i="6" s="1"/>
  <c r="AW91" i="6"/>
  <c r="AS94" i="6"/>
  <c r="AQ94" i="6"/>
  <c r="AR94" i="6"/>
  <c r="AM95" i="6"/>
  <c r="AP95" i="6"/>
  <c r="AJ95" i="6" s="1"/>
  <c r="X93" i="6"/>
  <c r="Z93" i="6" s="1"/>
  <c r="AT93" i="6" s="1"/>
  <c r="AU93" i="6" s="1"/>
  <c r="W94" i="6"/>
  <c r="Y94" i="6" s="1"/>
  <c r="AA94" i="6" s="1"/>
  <c r="K8" i="14"/>
  <c r="A23" i="15"/>
  <c r="D13" i="13"/>
  <c r="D12" i="13"/>
  <c r="B5" i="14"/>
  <c r="B2" i="14"/>
  <c r="C6" i="14" s="1"/>
  <c r="B7" i="14"/>
  <c r="G3" i="17" s="1"/>
  <c r="V95" i="6"/>
  <c r="I96" i="6"/>
  <c r="U96" i="6" s="1"/>
  <c r="R96" i="6"/>
  <c r="AY92" i="6"/>
  <c r="Q95" i="6"/>
  <c r="H97" i="6"/>
  <c r="T97" i="6" s="1"/>
  <c r="P97" i="6"/>
  <c r="S95" i="6"/>
  <c r="R97" i="6"/>
  <c r="I97" i="6"/>
  <c r="U97" i="6" s="1"/>
  <c r="C96" i="6"/>
  <c r="D96" i="6"/>
  <c r="G96" i="6"/>
  <c r="G97" i="6"/>
  <c r="C97" i="6"/>
  <c r="D97" i="6"/>
  <c r="H96" i="6"/>
  <c r="T96" i="6" s="1"/>
  <c r="P96" i="6"/>
  <c r="AX91" i="6" l="1"/>
  <c r="AY91" i="6"/>
  <c r="AF93" i="6"/>
  <c r="AE93" i="6"/>
  <c r="AD93" i="6"/>
  <c r="AM97" i="6"/>
  <c r="AP97" i="6"/>
  <c r="AJ97" i="6" s="1"/>
  <c r="AM96" i="6"/>
  <c r="AP96" i="6"/>
  <c r="AJ96" i="6" s="1"/>
  <c r="AR95" i="6"/>
  <c r="AQ95" i="6"/>
  <c r="AS95" i="6"/>
  <c r="X94" i="6"/>
  <c r="Z94" i="6" s="1"/>
  <c r="AT94" i="6" s="1"/>
  <c r="AU94" i="6" s="1"/>
  <c r="AB93" i="6"/>
  <c r="AC93" i="6"/>
  <c r="W95" i="6"/>
  <c r="Y95" i="6" s="1"/>
  <c r="AA95" i="6" s="1"/>
  <c r="G23" i="15"/>
  <c r="B23" i="15"/>
  <c r="E23" i="15"/>
  <c r="H23" i="15"/>
  <c r="F23" i="15"/>
  <c r="C23" i="15"/>
  <c r="D23" i="15"/>
  <c r="M9" i="14"/>
  <c r="M10" i="14" s="1"/>
  <c r="L10" i="14"/>
  <c r="M5" i="14"/>
  <c r="Q96" i="6"/>
  <c r="V96" i="6"/>
  <c r="S96" i="6"/>
  <c r="S97" i="6"/>
  <c r="Q97" i="6"/>
  <c r="V97" i="6"/>
  <c r="W97" i="6" s="1"/>
  <c r="AH93" i="6" l="1"/>
  <c r="AG93" i="6"/>
  <c r="AD94" i="6"/>
  <c r="AF94" i="6"/>
  <c r="AE94" i="6"/>
  <c r="AC94" i="6"/>
  <c r="AV93" i="6"/>
  <c r="AR96" i="6"/>
  <c r="AQ96" i="6"/>
  <c r="AS96" i="6"/>
  <c r="AR97" i="6"/>
  <c r="AS97" i="6"/>
  <c r="AQ97" i="6"/>
  <c r="AB94" i="6"/>
  <c r="X95" i="6"/>
  <c r="Z95" i="6" s="1"/>
  <c r="AT95" i="6" s="1"/>
  <c r="AU95" i="6" s="1"/>
  <c r="W96" i="6"/>
  <c r="Y96" i="6" s="1"/>
  <c r="AA96" i="6" s="1"/>
  <c r="Y97" i="6"/>
  <c r="AA97" i="6" s="1"/>
  <c r="X97" i="6"/>
  <c r="Z97" i="6" s="1"/>
  <c r="AI93" i="6" l="1"/>
  <c r="AL93" i="6" s="1"/>
  <c r="AT97" i="6"/>
  <c r="AU97" i="6" s="1"/>
  <c r="AW93" i="6"/>
  <c r="AG94" i="6"/>
  <c r="AH94" i="6"/>
  <c r="AF97" i="6"/>
  <c r="AE97" i="6"/>
  <c r="AD95" i="6"/>
  <c r="AF95" i="6"/>
  <c r="AE95" i="6"/>
  <c r="AD97" i="6"/>
  <c r="AC95" i="6"/>
  <c r="AV94" i="6"/>
  <c r="X96" i="6"/>
  <c r="Z96" i="6" s="1"/>
  <c r="AT96" i="6" s="1"/>
  <c r="AU96" i="6" s="1"/>
  <c r="AB95" i="6"/>
  <c r="AB97" i="6"/>
  <c r="AC97" i="6"/>
  <c r="AW94" i="6" l="1"/>
  <c r="AH97" i="6"/>
  <c r="AG97" i="6"/>
  <c r="AI94" i="6"/>
  <c r="AL94" i="6" s="1"/>
  <c r="AX93" i="6"/>
  <c r="AG95" i="6"/>
  <c r="AH95" i="6"/>
  <c r="AY93" i="6"/>
  <c r="AD96" i="6"/>
  <c r="AD2" i="6" s="1"/>
  <c r="AF96" i="6"/>
  <c r="AE96" i="6"/>
  <c r="AV95" i="6"/>
  <c r="AB96" i="6"/>
  <c r="AC96" i="6"/>
  <c r="AV97" i="6"/>
  <c r="AW97" i="6" s="1"/>
  <c r="AX97" i="6" s="1"/>
  <c r="AI97" i="6" l="1"/>
  <c r="AL97" i="6" s="1"/>
  <c r="AV96" i="6"/>
  <c r="AW96" i="6" s="1"/>
  <c r="AX96" i="6" s="1"/>
  <c r="AI95" i="6"/>
  <c r="AL95" i="6" s="1"/>
  <c r="AX94" i="6"/>
  <c r="AG96" i="6"/>
  <c r="AH96" i="6"/>
  <c r="AW95" i="6"/>
  <c r="AY95" i="6" s="1"/>
  <c r="AY94" i="6"/>
  <c r="AY97" i="6"/>
  <c r="AY96" i="6" l="1"/>
  <c r="AI96" i="6"/>
  <c r="AL96" i="6" s="1"/>
  <c r="AX95" i="6"/>
  <c r="AU2" i="6" l="1"/>
  <c r="AN8" i="6" l="1"/>
  <c r="AO8" i="6" s="1"/>
  <c r="AN16" i="6"/>
  <c r="AO16" i="6" s="1"/>
  <c r="AN24" i="6"/>
  <c r="AO24" i="6" s="1"/>
  <c r="AN32" i="6"/>
  <c r="AO32" i="6" s="1"/>
  <c r="AN40" i="6"/>
  <c r="AO40" i="6" s="1"/>
  <c r="AN48" i="6"/>
  <c r="AO48" i="6" s="1"/>
  <c r="AN56" i="6"/>
  <c r="AO56" i="6" s="1"/>
  <c r="AN64" i="6"/>
  <c r="AO64" i="6" s="1"/>
  <c r="AN72" i="6"/>
  <c r="AO72" i="6" s="1"/>
  <c r="AN80" i="6"/>
  <c r="AO80" i="6" s="1"/>
  <c r="AN88" i="6"/>
  <c r="AO88" i="6" s="1"/>
  <c r="AN96" i="6"/>
  <c r="AO96" i="6" s="1"/>
  <c r="AN30" i="6"/>
  <c r="AO30" i="6" s="1"/>
  <c r="AN54" i="6"/>
  <c r="AO54" i="6" s="1"/>
  <c r="AN86" i="6"/>
  <c r="AO86" i="6" s="1"/>
  <c r="AN31" i="6"/>
  <c r="AO31" i="6" s="1"/>
  <c r="AN79" i="6"/>
  <c r="AO79" i="6" s="1"/>
  <c r="AN9" i="6"/>
  <c r="AO9" i="6" s="1"/>
  <c r="AN17" i="6"/>
  <c r="AO17" i="6" s="1"/>
  <c r="AN25" i="6"/>
  <c r="AO25" i="6" s="1"/>
  <c r="AN33" i="6"/>
  <c r="AO33" i="6" s="1"/>
  <c r="AN41" i="6"/>
  <c r="AO41" i="6" s="1"/>
  <c r="AN49" i="6"/>
  <c r="AO49" i="6" s="1"/>
  <c r="AN57" i="6"/>
  <c r="AO57" i="6" s="1"/>
  <c r="AN65" i="6"/>
  <c r="AO65" i="6" s="1"/>
  <c r="AN73" i="6"/>
  <c r="AO73" i="6" s="1"/>
  <c r="AN81" i="6"/>
  <c r="AO81" i="6" s="1"/>
  <c r="AN89" i="6"/>
  <c r="AO89" i="6" s="1"/>
  <c r="AN97" i="6"/>
  <c r="AO97" i="6" s="1"/>
  <c r="AN5" i="6"/>
  <c r="AO5" i="6" s="1"/>
  <c r="AN62" i="6"/>
  <c r="AO62" i="6" s="1"/>
  <c r="AN15" i="6"/>
  <c r="AO15" i="6" s="1"/>
  <c r="AN63" i="6"/>
  <c r="AO63" i="6" s="1"/>
  <c r="AN7" i="6"/>
  <c r="AO7" i="6" s="1"/>
  <c r="AN10" i="6"/>
  <c r="AO10" i="6" s="1"/>
  <c r="AN18" i="6"/>
  <c r="AO18" i="6" s="1"/>
  <c r="AN26" i="6"/>
  <c r="AO26" i="6" s="1"/>
  <c r="AN34" i="6"/>
  <c r="AO34" i="6" s="1"/>
  <c r="AN42" i="6"/>
  <c r="AO42" i="6" s="1"/>
  <c r="AN50" i="6"/>
  <c r="AO50" i="6" s="1"/>
  <c r="AN58" i="6"/>
  <c r="AO58" i="6" s="1"/>
  <c r="AN66" i="6"/>
  <c r="AO66" i="6" s="1"/>
  <c r="AN74" i="6"/>
  <c r="AO74" i="6" s="1"/>
  <c r="AN82" i="6"/>
  <c r="AO82" i="6" s="1"/>
  <c r="AN90" i="6"/>
  <c r="AO90" i="6" s="1"/>
  <c r="AN98" i="6"/>
  <c r="AO98" i="6" s="1"/>
  <c r="AN22" i="6"/>
  <c r="AO22" i="6" s="1"/>
  <c r="AN70" i="6"/>
  <c r="AO70" i="6" s="1"/>
  <c r="AN6" i="6"/>
  <c r="AO6" i="6" s="1"/>
  <c r="AN55" i="6"/>
  <c r="AO55" i="6" s="1"/>
  <c r="AN95" i="6"/>
  <c r="AO95" i="6" s="1"/>
  <c r="AN11" i="6"/>
  <c r="AN19" i="6"/>
  <c r="AO19" i="6" s="1"/>
  <c r="AN27" i="6"/>
  <c r="AO27" i="6" s="1"/>
  <c r="AN35" i="6"/>
  <c r="AO35" i="6" s="1"/>
  <c r="AN43" i="6"/>
  <c r="AO43" i="6" s="1"/>
  <c r="AN51" i="6"/>
  <c r="AO51" i="6" s="1"/>
  <c r="AN59" i="6"/>
  <c r="AO59" i="6" s="1"/>
  <c r="AN67" i="6"/>
  <c r="AO67" i="6" s="1"/>
  <c r="AN75" i="6"/>
  <c r="AO75" i="6" s="1"/>
  <c r="AN83" i="6"/>
  <c r="AO83" i="6" s="1"/>
  <c r="AN91" i="6"/>
  <c r="AO91" i="6" s="1"/>
  <c r="AN99" i="6"/>
  <c r="AO99" i="6" s="1"/>
  <c r="AN92" i="6"/>
  <c r="AO92" i="6" s="1"/>
  <c r="AN46" i="6"/>
  <c r="AO46" i="6" s="1"/>
  <c r="AN94" i="6"/>
  <c r="AO94" i="6" s="1"/>
  <c r="AN39" i="6"/>
  <c r="AO39" i="6" s="1"/>
  <c r="AN87" i="6"/>
  <c r="AO87" i="6" s="1"/>
  <c r="AN12" i="6"/>
  <c r="AO12" i="6" s="1"/>
  <c r="AN20" i="6"/>
  <c r="AO20" i="6" s="1"/>
  <c r="AN28" i="6"/>
  <c r="AO28" i="6" s="1"/>
  <c r="AN36" i="6"/>
  <c r="AO36" i="6" s="1"/>
  <c r="AN44" i="6"/>
  <c r="AO44" i="6" s="1"/>
  <c r="AN52" i="6"/>
  <c r="AO52" i="6" s="1"/>
  <c r="AN60" i="6"/>
  <c r="AO60" i="6" s="1"/>
  <c r="AN68" i="6"/>
  <c r="AO68" i="6" s="1"/>
  <c r="AN76" i="6"/>
  <c r="AO76" i="6" s="1"/>
  <c r="AN84" i="6"/>
  <c r="AO84" i="6" s="1"/>
  <c r="AN38" i="6"/>
  <c r="AO38" i="6" s="1"/>
  <c r="AN47" i="6"/>
  <c r="AO47" i="6" s="1"/>
  <c r="AN13" i="6"/>
  <c r="AO13" i="6" s="1"/>
  <c r="AN21" i="6"/>
  <c r="AO21" i="6" s="1"/>
  <c r="AN29" i="6"/>
  <c r="AO29" i="6" s="1"/>
  <c r="AN37" i="6"/>
  <c r="AO37" i="6" s="1"/>
  <c r="AN45" i="6"/>
  <c r="AO45" i="6" s="1"/>
  <c r="AN53" i="6"/>
  <c r="AO53" i="6" s="1"/>
  <c r="AN61" i="6"/>
  <c r="AO61" i="6" s="1"/>
  <c r="AN69" i="6"/>
  <c r="AO69" i="6" s="1"/>
  <c r="AN77" i="6"/>
  <c r="AO77" i="6" s="1"/>
  <c r="AN85" i="6"/>
  <c r="AO85" i="6" s="1"/>
  <c r="AN93" i="6"/>
  <c r="AO93" i="6" s="1"/>
  <c r="AN14" i="6"/>
  <c r="AO14" i="6" s="1"/>
  <c r="AN78" i="6"/>
  <c r="AO78" i="6" s="1"/>
  <c r="AN23" i="6"/>
  <c r="AO23" i="6" s="1"/>
  <c r="AN71" i="6"/>
  <c r="AO71" i="6" s="1"/>
  <c r="AN4" i="6"/>
  <c r="AO4" i="6" s="1"/>
  <c r="AK8" i="6"/>
  <c r="AK86" i="6"/>
  <c r="AK35" i="6"/>
  <c r="AK6" i="6"/>
  <c r="AK7" i="6"/>
  <c r="AK99" i="6"/>
  <c r="AK32" i="6"/>
  <c r="AK60" i="6"/>
  <c r="AK64" i="6"/>
  <c r="AK94" i="6"/>
  <c r="AK95" i="6"/>
  <c r="AK40" i="6"/>
  <c r="AK97" i="6"/>
  <c r="AK24" i="6"/>
  <c r="AK89" i="6"/>
  <c r="AK43" i="6"/>
  <c r="AK28" i="6"/>
  <c r="AK25" i="6"/>
  <c r="AK22" i="6"/>
  <c r="AK19" i="6"/>
  <c r="AK18" i="6"/>
  <c r="AK12" i="6"/>
  <c r="AK73" i="6"/>
  <c r="AK79" i="6"/>
  <c r="AK71" i="6"/>
  <c r="AK9" i="6"/>
  <c r="AK76" i="6"/>
  <c r="AK52" i="6"/>
  <c r="AK61" i="6"/>
  <c r="AK84" i="6"/>
  <c r="AK27" i="6"/>
  <c r="AK87" i="6"/>
  <c r="AK10" i="6"/>
  <c r="AK82" i="6"/>
  <c r="AK42" i="6"/>
  <c r="AK88" i="6"/>
  <c r="AK15" i="6"/>
  <c r="AK62" i="6"/>
  <c r="AK50" i="6"/>
  <c r="AK20" i="6"/>
  <c r="AK29" i="6"/>
  <c r="AK38" i="6"/>
  <c r="AK81" i="6"/>
  <c r="AK46" i="6"/>
  <c r="AK56" i="6"/>
  <c r="AK96" i="6"/>
  <c r="AK67" i="6"/>
  <c r="AK37" i="6"/>
  <c r="AK34" i="6"/>
  <c r="AK77" i="6"/>
  <c r="AK31" i="6"/>
  <c r="AK30" i="6"/>
  <c r="AK58" i="6"/>
  <c r="AK68" i="6"/>
  <c r="AK49" i="6"/>
  <c r="AK66" i="6"/>
  <c r="AK91" i="6"/>
  <c r="AK16" i="6"/>
  <c r="AK48" i="6"/>
  <c r="AK14" i="6"/>
  <c r="AK17" i="6"/>
  <c r="AK5" i="6"/>
  <c r="AK80" i="6"/>
  <c r="AK63" i="6"/>
  <c r="AK4" i="6"/>
  <c r="AK59" i="6"/>
  <c r="AK92" i="6"/>
  <c r="AK74" i="6"/>
  <c r="AK93" i="6"/>
  <c r="AK33" i="6"/>
  <c r="AK41" i="6"/>
  <c r="AK70" i="6"/>
  <c r="AK65" i="6"/>
  <c r="AK53" i="6"/>
  <c r="AK69" i="6"/>
  <c r="AK39" i="6"/>
  <c r="AK47" i="6"/>
  <c r="AK78" i="6"/>
  <c r="AK98" i="6"/>
  <c r="AK75" i="6"/>
  <c r="AK26" i="6"/>
  <c r="AK45" i="6"/>
  <c r="AK85" i="6"/>
  <c r="AK51" i="6"/>
  <c r="AK23" i="6"/>
  <c r="AK36" i="6"/>
  <c r="AK44" i="6"/>
  <c r="AK13" i="6"/>
  <c r="AK55" i="6"/>
  <c r="AK72" i="6"/>
  <c r="AK90" i="6"/>
  <c r="AK21" i="6"/>
  <c r="AK57" i="6"/>
  <c r="AK83" i="6"/>
  <c r="AK54" i="6"/>
  <c r="AZ36" i="6" l="1"/>
  <c r="AZ50" i="6"/>
  <c r="AZ71" i="6"/>
  <c r="AZ42" i="6"/>
  <c r="AZ86" i="6"/>
  <c r="AZ23" i="6"/>
  <c r="AZ53" i="6"/>
  <c r="AZ84" i="6"/>
  <c r="AZ20" i="6"/>
  <c r="AZ91" i="6"/>
  <c r="AZ27" i="6"/>
  <c r="AZ98" i="6"/>
  <c r="AZ34" i="6"/>
  <c r="AZ5" i="6"/>
  <c r="AZ41" i="6"/>
  <c r="AZ54" i="6"/>
  <c r="AZ48" i="6"/>
  <c r="AZ47" i="6"/>
  <c r="AZ70" i="6"/>
  <c r="AZ61" i="6"/>
  <c r="AZ22" i="6"/>
  <c r="AZ49" i="6"/>
  <c r="AZ78" i="6"/>
  <c r="AZ45" i="6"/>
  <c r="AZ76" i="6"/>
  <c r="AZ12" i="6"/>
  <c r="AZ83" i="6"/>
  <c r="AZ19" i="6"/>
  <c r="AZ90" i="6"/>
  <c r="AZ26" i="6"/>
  <c r="AZ97" i="6"/>
  <c r="AZ33" i="6"/>
  <c r="AZ30" i="6"/>
  <c r="AZ40" i="6"/>
  <c r="AZ92" i="6"/>
  <c r="AZ57" i="6"/>
  <c r="AZ38" i="6"/>
  <c r="AZ62" i="6"/>
  <c r="AZ56" i="6"/>
  <c r="AZ14" i="6"/>
  <c r="AZ37" i="6"/>
  <c r="AZ68" i="6"/>
  <c r="AZ87" i="6"/>
  <c r="AZ75" i="6"/>
  <c r="B4" i="13"/>
  <c r="AO11" i="6"/>
  <c r="AZ82" i="6"/>
  <c r="AZ18" i="6"/>
  <c r="AZ89" i="6"/>
  <c r="AZ25" i="6"/>
  <c r="AZ96" i="6"/>
  <c r="AZ32" i="6"/>
  <c r="AZ4" i="6"/>
  <c r="AZ15" i="6"/>
  <c r="AZ28" i="6"/>
  <c r="AZ93" i="6"/>
  <c r="AZ29" i="6"/>
  <c r="AZ60" i="6"/>
  <c r="AZ39" i="6"/>
  <c r="AZ67" i="6"/>
  <c r="AZ95" i="6"/>
  <c r="AZ74" i="6"/>
  <c r="AZ10" i="6"/>
  <c r="AZ81" i="6"/>
  <c r="AZ17" i="6"/>
  <c r="AZ88" i="6"/>
  <c r="AZ24" i="6"/>
  <c r="AZ43" i="6"/>
  <c r="AZ64" i="6"/>
  <c r="AZ35" i="6"/>
  <c r="AZ85" i="6"/>
  <c r="AZ21" i="6"/>
  <c r="AZ52" i="6"/>
  <c r="AZ94" i="6"/>
  <c r="AZ59" i="6"/>
  <c r="AZ55" i="6"/>
  <c r="AZ66" i="6"/>
  <c r="AZ7" i="6"/>
  <c r="AZ73" i="6"/>
  <c r="AZ9" i="6"/>
  <c r="AZ80" i="6"/>
  <c r="AZ16" i="6"/>
  <c r="AZ69" i="6"/>
  <c r="AZ31" i="6"/>
  <c r="AZ99" i="6"/>
  <c r="AZ77" i="6"/>
  <c r="AZ13" i="6"/>
  <c r="AZ44" i="6"/>
  <c r="AZ46" i="6"/>
  <c r="AZ51" i="6"/>
  <c r="AZ6" i="6"/>
  <c r="AZ58" i="6"/>
  <c r="AZ63" i="6"/>
  <c r="AZ65" i="6"/>
  <c r="AZ79" i="6"/>
  <c r="AZ72" i="6"/>
  <c r="AZ8" i="6"/>
  <c r="AK11" i="6"/>
  <c r="AZ11" i="6" l="1"/>
  <c r="B8" i="13" s="1"/>
  <c r="B6" i="13"/>
  <c r="K7" i="14"/>
  <c r="L9" i="14" s="1"/>
  <c r="D7" i="14" l="1"/>
  <c r="K2" i="15"/>
  <c r="A24" i="15"/>
  <c r="K1" i="15"/>
  <c r="B24" i="15" l="1"/>
  <c r="G8" i="14"/>
  <c r="M8" i="14"/>
  <c r="E7" i="14"/>
  <c r="C24" i="15" l="1"/>
  <c r="M7" i="14"/>
  <c r="M6" i="14" s="1"/>
  <c r="M11" i="14" s="1"/>
  <c r="B27" i="15" l="1"/>
  <c r="A27" i="15"/>
  <c r="B26" i="15"/>
  <c r="A26" i="15"/>
  <c r="A28" i="15" l="1"/>
  <c r="N10" i="14" s="1"/>
  <c r="N12" i="14" s="1"/>
</calcChain>
</file>

<file path=xl/sharedStrings.xml><?xml version="1.0" encoding="utf-8"?>
<sst xmlns="http://schemas.openxmlformats.org/spreadsheetml/2006/main" count="317" uniqueCount="147">
  <si>
    <t>Well</t>
  </si>
  <si>
    <t>Well Type</t>
  </si>
  <si>
    <t>Target</t>
  </si>
  <si>
    <t>Replicate</t>
  </si>
  <si>
    <t>TEL</t>
  </si>
  <si>
    <t>Cq (∆R)</t>
  </si>
  <si>
    <t>Rel. Quant. to Cal.</t>
  </si>
  <si>
    <t>Tm Product 1 (-R'(T))</t>
  </si>
  <si>
    <t>SCR</t>
  </si>
  <si>
    <t>A2</t>
  </si>
  <si>
    <t>SYBR</t>
  </si>
  <si>
    <t>--</t>
  </si>
  <si>
    <t>No Calibrator</t>
  </si>
  <si>
    <t>A</t>
  </si>
  <si>
    <t/>
  </si>
  <si>
    <t>REFERENCIA</t>
  </si>
  <si>
    <t>B</t>
  </si>
  <si>
    <t>C</t>
  </si>
  <si>
    <t>D</t>
  </si>
  <si>
    <t>E</t>
  </si>
  <si>
    <t>F</t>
  </si>
  <si>
    <t>G</t>
  </si>
  <si>
    <t>H</t>
  </si>
  <si>
    <t>B1</t>
  </si>
  <si>
    <t>B2</t>
  </si>
  <si>
    <t>PACIENTE</t>
  </si>
  <si>
    <t>FECHA</t>
  </si>
  <si>
    <t>C1</t>
  </si>
  <si>
    <t>C2</t>
  </si>
  <si>
    <t>Edad Biológica</t>
  </si>
  <si>
    <t>Edad Cronológica</t>
  </si>
  <si>
    <t>Largo Telómeros</t>
  </si>
  <si>
    <t>+-</t>
  </si>
  <si>
    <t>Pulgadas</t>
  </si>
  <si>
    <t>RUT</t>
  </si>
  <si>
    <t>DV</t>
  </si>
  <si>
    <t>DATE</t>
  </si>
  <si>
    <t>SD TEL</t>
  </si>
  <si>
    <t>SD% TEL</t>
  </si>
  <si>
    <t>SD SCR</t>
  </si>
  <si>
    <t>SD% SCR</t>
  </si>
  <si>
    <t>dCq (TEL)</t>
  </si>
  <si>
    <t>dCq (SCR)</t>
  </si>
  <si>
    <t>ddCq</t>
  </si>
  <si>
    <t>RTL</t>
  </si>
  <si>
    <t>TTL</t>
  </si>
  <si>
    <t>TTL +-</t>
  </si>
  <si>
    <t>TL</t>
  </si>
  <si>
    <t>TL +-</t>
  </si>
  <si>
    <t>MIN</t>
  </si>
  <si>
    <t>MAX</t>
  </si>
  <si>
    <t>MEAN</t>
  </si>
  <si>
    <t>DOB</t>
  </si>
  <si>
    <t>DAYS</t>
  </si>
  <si>
    <t>YEARS</t>
  </si>
  <si>
    <t>VAR</t>
  </si>
  <si>
    <t>MEDIANA LARGO</t>
  </si>
  <si>
    <t>Kb</t>
  </si>
  <si>
    <t>REF</t>
  </si>
  <si>
    <t>Unknown</t>
  </si>
  <si>
    <t>NTC</t>
  </si>
  <si>
    <t>No Cq</t>
  </si>
  <si>
    <t>D2</t>
  </si>
  <si>
    <t>AV TEL</t>
  </si>
  <si>
    <t>AV SCR</t>
  </si>
  <si>
    <t>_</t>
  </si>
  <si>
    <t>Tsuji-</t>
  </si>
  <si>
    <t>Tsuji+</t>
  </si>
  <si>
    <t>Takasaki-</t>
  </si>
  <si>
    <t>Takasaki+</t>
  </si>
  <si>
    <t>Código de muestra:</t>
  </si>
  <si>
    <t>Nombre paciente:</t>
  </si>
  <si>
    <t>RUT:</t>
  </si>
  <si>
    <r>
      <t>Fecha de emisión</t>
    </r>
    <r>
      <rPr>
        <sz val="14"/>
        <color rgb="FF000000"/>
        <rFont val="Montserrat"/>
      </rPr>
      <t>:</t>
    </r>
  </si>
  <si>
    <t>TITULO</t>
  </si>
  <si>
    <t>Los rangos de este gráfico son dinámicos y están basados en su edad.</t>
  </si>
  <si>
    <t>LEYENDA SECCION 1.</t>
  </si>
  <si>
    <t>HEADER</t>
  </si>
  <si>
    <t>LEYENDA SECCION 3.</t>
  </si>
  <si>
    <t>LEYENDA SUP SECCION 1.</t>
  </si>
  <si>
    <t>está limitada</t>
  </si>
  <si>
    <t>está reducida</t>
  </si>
  <si>
    <t>es normal</t>
  </si>
  <si>
    <t>es larga</t>
  </si>
  <si>
    <t>es abundante</t>
  </si>
  <si>
    <t>minimo</t>
  </si>
  <si>
    <r>
      <t>y = -0.0011x</t>
    </r>
    <r>
      <rPr>
        <vertAlign val="superscript"/>
        <sz val="10"/>
        <color rgb="FF000000"/>
        <rFont val="Arial"/>
        <family val="2"/>
      </rPr>
      <t>2</t>
    </r>
    <r>
      <rPr>
        <sz val="10"/>
        <color rgb="FF000000"/>
        <rFont val="Arial"/>
        <family val="2"/>
      </rPr>
      <t xml:space="preserve"> + 0.0117x + 12.958</t>
    </r>
  </si>
  <si>
    <t>test</t>
  </si>
  <si>
    <t>normal superior</t>
  </si>
  <si>
    <t>normal inferior</t>
  </si>
  <si>
    <t>y = -1E-05x3 + 0.0013x2 - 0.0951x + 15.603</t>
  </si>
  <si>
    <t>y = 0.0003x2 - 0.1171x + 13.018</t>
  </si>
  <si>
    <t>y = -0.0005x2 - 0.0433x + 12.618</t>
  </si>
  <si>
    <t>y = -3E-05x3 + 0.0045x2 - 0.2661x + 19.494</t>
  </si>
  <si>
    <t>y = -2E-05x3 + 0.0024x2 - 0.1793x + 19.19</t>
  </si>
  <si>
    <t>LEYENDA SECCION 2.</t>
  </si>
  <si>
    <t>RANGO ET</t>
  </si>
  <si>
    <t>EDAD AVANZADA</t>
  </si>
  <si>
    <t>MAYOR</t>
  </si>
  <si>
    <t>ADULTO</t>
  </si>
  <si>
    <t>JOVEN</t>
  </si>
  <si>
    <t>INFANTE</t>
  </si>
  <si>
    <t>ranges</t>
  </si>
  <si>
    <t>labels</t>
  </si>
  <si>
    <t>Nombre Completo</t>
  </si>
  <si>
    <t>Nac.</t>
  </si>
  <si>
    <t>SELECCIONE PACIENTE A GRAFICAR</t>
  </si>
  <si>
    <t>K</t>
  </si>
  <si>
    <t>Nombre Referencial</t>
  </si>
  <si>
    <t>FECHA DE ANALISIS</t>
  </si>
  <si>
    <t>Edad Biológica Estimada:</t>
  </si>
  <si>
    <t>Edad Cronológica:</t>
  </si>
  <si>
    <t>D1</t>
  </si>
  <si>
    <t>En Agilent</t>
  </si>
  <si>
    <t>Seleccionar Blancos</t>
  </si>
  <si>
    <t>Exportar Resultados</t>
  </si>
  <si>
    <t>Eliminar muestras y blancos contaminados mirando raw data plots y curvas melting en Graphical displays</t>
  </si>
  <si>
    <t>Pegar resultados en hoja "1)qPCR"</t>
  </si>
  <si>
    <t>Rellenar hoja "2)GRID" con arreglo de placa</t>
  </si>
  <si>
    <t>Hoja "PACIENTES"</t>
  </si>
  <si>
    <t>Seleccionar nombres en columna A</t>
  </si>
  <si>
    <t>Escribir RUT sin digito verificador en B</t>
  </si>
  <si>
    <t>Ejecutar rutina "CalculateAllDOB"</t>
  </si>
  <si>
    <t>Elegir paciente en G2</t>
  </si>
  <si>
    <t>Abrir Docx</t>
  </si>
  <si>
    <t>Ctrl+A</t>
  </si>
  <si>
    <t>F9</t>
  </si>
  <si>
    <t>Repetir 5.1 y 5.2 para Encabezado</t>
  </si>
  <si>
    <t>Guardar como PDF con código de columna G3 Hoja Pacientes</t>
  </si>
  <si>
    <t>Max Kb</t>
  </si>
  <si>
    <t>Min Kb</t>
  </si>
  <si>
    <t>Mean Kb</t>
  </si>
  <si>
    <t>A4</t>
  </si>
  <si>
    <t>Sdev''</t>
  </si>
  <si>
    <t>Mean Kb-Age</t>
  </si>
  <si>
    <t>Min Kb-Age</t>
  </si>
  <si>
    <t>Max Kb-Age</t>
  </si>
  <si>
    <t>y =0.0002x2 - 0.1124x + 12.601</t>
  </si>
  <si>
    <t>Edad</t>
  </si>
  <si>
    <t>A1</t>
  </si>
  <si>
    <t>A3</t>
  </si>
  <si>
    <t>Marcelo</t>
  </si>
  <si>
    <t>Rafael</t>
  </si>
  <si>
    <t>20-05-1983</t>
  </si>
  <si>
    <t>13-11-1966</t>
  </si>
  <si>
    <t>MARCELO ENRIQUE POOL SKIADARESSIS</t>
  </si>
  <si>
    <t>RAFAEL ALEJANDRO MANIEU BRICEÑO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</si>
</sst>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0.0"/>
    <numFmt numFmtId="166" formatCode="yyyy\-mm\-dd"/>
    <numFmt numFmtId="167" formatCode="[$-340A]d&quot; de &quot;mmmm&quot; de &quot;yyyy;@"/>
  </numFmts>
  <fonts count="30">
    <font>
      <sz val="10"/>
      <color rgb="FF000000"/>
      <name val="Arial"/>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color theme="1"/>
      <name val="Arial"/>
      <family val="2"/>
    </font>
    <font>
      <sz val="11"/>
      <color rgb="FF000000"/>
      <name val="Calibri"/>
      <family val="2"/>
    </font>
    <font>
      <b/>
      <sz val="10"/>
      <color theme="1"/>
      <name val="Arial"/>
      <family val="2"/>
    </font>
    <font>
      <sz val="10"/>
      <name val="Arial"/>
      <family val="2"/>
    </font>
    <font>
      <sz val="10"/>
      <name val="Arial"/>
      <family val="2"/>
    </font>
    <font>
      <sz val="10"/>
      <color rgb="FF000000"/>
      <name val="Arial"/>
      <family val="2"/>
    </font>
    <font>
      <b/>
      <sz val="11"/>
      <color theme="1"/>
      <name val="Arial"/>
      <family val="2"/>
      <scheme val="minor"/>
    </font>
    <font>
      <sz val="10"/>
      <color theme="0"/>
      <name val="Arial"/>
      <family val="2"/>
    </font>
    <font>
      <sz val="12"/>
      <color rgb="FF000000"/>
      <name val="Montserrat"/>
    </font>
    <font>
      <b/>
      <sz val="12"/>
      <color rgb="FF000000"/>
      <name val="Montserrat"/>
    </font>
    <font>
      <sz val="14"/>
      <color rgb="FF000000"/>
      <name val="Montserrat"/>
    </font>
    <font>
      <sz val="12"/>
      <color theme="1"/>
      <name val="Montserrat"/>
    </font>
    <font>
      <b/>
      <sz val="9"/>
      <color rgb="FF000000"/>
      <name val="Arial"/>
      <family val="2"/>
      <scheme val="minor"/>
    </font>
    <font>
      <sz val="9"/>
      <color theme="1"/>
      <name val="Montserrat"/>
    </font>
    <font>
      <sz val="8"/>
      <color theme="1"/>
      <name val="Montserrat"/>
    </font>
    <font>
      <sz val="9"/>
      <color rgb="FF000000"/>
      <name val="Montserrat"/>
    </font>
    <font>
      <b/>
      <sz val="11"/>
      <color rgb="FF000000"/>
      <name val="Montserrat"/>
    </font>
    <font>
      <sz val="11"/>
      <color rgb="FF000000"/>
      <name val="Montserrat"/>
    </font>
    <font>
      <sz val="10"/>
      <color rgb="FF000000"/>
      <name val="Montserrat"/>
    </font>
    <font>
      <b/>
      <sz val="10"/>
      <color rgb="FF000000"/>
      <name val="Montserrat"/>
    </font>
    <font>
      <vertAlign val="superscript"/>
      <sz val="10"/>
      <color rgb="FF000000"/>
      <name val="Arial"/>
      <family val="2"/>
    </font>
    <font>
      <b/>
      <sz val="8"/>
      <color theme="0"/>
      <name val="Montserrat"/>
    </font>
    <font>
      <b/>
      <sz val="10"/>
      <color rgb="FF000000"/>
      <name val="Arial"/>
      <family val="2"/>
    </font>
  </fonts>
  <fills count="13">
    <fill>
      <patternFill patternType="none"/>
    </fill>
    <fill>
      <patternFill patternType="gray125"/>
    </fill>
    <fill>
      <patternFill patternType="solid">
        <fgColor rgb="FFB7E1CD"/>
        <bgColor rgb="FFB7E1CD"/>
      </patternFill>
    </fill>
    <fill>
      <patternFill patternType="solid">
        <fgColor rgb="FFFF0000"/>
        <bgColor indexed="64"/>
      </patternFill>
    </fill>
    <fill>
      <patternFill patternType="solid">
        <fgColor theme="6"/>
        <bgColor indexed="64"/>
      </patternFill>
    </fill>
    <fill>
      <patternFill patternType="solid">
        <fgColor theme="0"/>
        <bgColor indexed="64"/>
      </patternFill>
    </fill>
    <fill>
      <patternFill patternType="solid">
        <fgColor rgb="FFFFFF00"/>
        <bgColor indexed="64"/>
      </patternFill>
    </fill>
    <fill>
      <patternFill patternType="solid">
        <fgColor theme="4" tint="0.59999389629810485"/>
        <bgColor rgb="FFB7E1CD"/>
      </patternFill>
    </fill>
    <fill>
      <patternFill patternType="solid">
        <fgColor rgb="FFC00000"/>
        <bgColor indexed="64"/>
      </patternFill>
    </fill>
    <fill>
      <patternFill patternType="solid">
        <fgColor theme="2"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7" tint="0.7999816888943144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ck">
        <color theme="3" tint="0.249977111117893"/>
      </bottom>
      <diagonal/>
    </border>
    <border>
      <left/>
      <right style="thick">
        <color theme="3" tint="0.249977111117893"/>
      </right>
      <top/>
      <bottom/>
      <diagonal/>
    </border>
    <border>
      <left/>
      <right style="thick">
        <color theme="3" tint="0.249977111117893"/>
      </right>
      <top style="thick">
        <color theme="3" tint="0.249977111117893"/>
      </top>
      <bottom style="thick">
        <color theme="3" tint="0.249977111117893"/>
      </bottom>
      <diagonal/>
    </border>
  </borders>
  <cellStyleXfs count="7">
    <xf numFmtId="0" fontId="0" fillId="0" borderId="0"/>
    <xf numFmtId="0" fontId="6" fillId="0" borderId="0"/>
    <xf numFmtId="0" fontId="5" fillId="0" borderId="0"/>
    <xf numFmtId="0" fontId="4" fillId="0" borderId="0"/>
    <xf numFmtId="0" fontId="3" fillId="0" borderId="0"/>
    <xf numFmtId="0" fontId="2" fillId="0" borderId="0"/>
    <xf numFmtId="0" fontId="1" fillId="0" borderId="0"/>
  </cellStyleXfs>
  <cellXfs count="94">
    <xf numFmtId="0" fontId="0" fillId="0" borderId="0" xfId="0" applyFont="1" applyAlignment="1"/>
    <xf numFmtId="0" fontId="7" fillId="0" borderId="0" xfId="0" applyFont="1"/>
    <xf numFmtId="0" fontId="8" fillId="0" borderId="0" xfId="0" applyFont="1" applyAlignment="1"/>
    <xf numFmtId="0" fontId="7" fillId="2" borderId="0" xfId="0" applyFont="1" applyFill="1" applyAlignment="1"/>
    <xf numFmtId="0" fontId="8" fillId="0" borderId="0" xfId="0" applyFont="1" applyAlignment="1">
      <alignment horizontal="right"/>
    </xf>
    <xf numFmtId="0" fontId="7" fillId="0" borderId="0" xfId="0" applyFont="1" applyAlignment="1"/>
    <xf numFmtId="0" fontId="7" fillId="0" borderId="0" xfId="0" applyFont="1" applyAlignment="1"/>
    <xf numFmtId="0" fontId="7" fillId="0" borderId="0" xfId="0" applyFont="1"/>
    <xf numFmtId="0" fontId="9" fillId="0" borderId="0" xfId="0" applyFont="1" applyAlignment="1"/>
    <xf numFmtId="0" fontId="9" fillId="0" borderId="0" xfId="0" quotePrefix="1" applyFont="1" applyAlignment="1"/>
    <xf numFmtId="2" fontId="7" fillId="0" borderId="0" xfId="0" applyNumberFormat="1" applyFont="1"/>
    <xf numFmtId="0" fontId="9" fillId="0" borderId="0" xfId="0" applyFont="1"/>
    <xf numFmtId="4" fontId="7" fillId="0" borderId="0" xfId="0" quotePrefix="1" applyNumberFormat="1" applyFont="1" applyAlignment="1"/>
    <xf numFmtId="164" fontId="11" fillId="0" borderId="0" xfId="0" applyNumberFormat="1" applyFont="1" applyAlignment="1"/>
    <xf numFmtId="165" fontId="7" fillId="0" borderId="0" xfId="0" applyNumberFormat="1" applyFont="1" applyAlignment="1"/>
    <xf numFmtId="0" fontId="7" fillId="0" borderId="0" xfId="0" quotePrefix="1" applyFont="1" applyAlignment="1"/>
    <xf numFmtId="166" fontId="7" fillId="0" borderId="0" xfId="0" applyNumberFormat="1" applyFont="1" applyAlignment="1"/>
    <xf numFmtId="2" fontId="7" fillId="0" borderId="0" xfId="0" applyNumberFormat="1" applyFont="1" applyAlignment="1"/>
    <xf numFmtId="10" fontId="7" fillId="0" borderId="0" xfId="0" applyNumberFormat="1" applyFont="1"/>
    <xf numFmtId="4" fontId="7" fillId="0" borderId="0" xfId="0" applyNumberFormat="1" applyFont="1"/>
    <xf numFmtId="164" fontId="7" fillId="0" borderId="0" xfId="0" applyNumberFormat="1" applyFont="1"/>
    <xf numFmtId="165" fontId="7" fillId="0" borderId="0" xfId="0" applyNumberFormat="1" applyFont="1"/>
    <xf numFmtId="14" fontId="0" fillId="0" borderId="0" xfId="0" applyNumberFormat="1" applyFont="1" applyAlignment="1"/>
    <xf numFmtId="0" fontId="7" fillId="3" borderId="0" xfId="0" applyFont="1" applyFill="1" applyAlignment="1"/>
    <xf numFmtId="0" fontId="7" fillId="4" borderId="0" xfId="0" applyFont="1" applyFill="1" applyAlignment="1"/>
    <xf numFmtId="0" fontId="0" fillId="5" borderId="0" xfId="0" applyFont="1" applyFill="1" applyAlignment="1"/>
    <xf numFmtId="0" fontId="0" fillId="0" borderId="0" xfId="0" applyFont="1" applyFill="1" applyAlignment="1"/>
    <xf numFmtId="0" fontId="12" fillId="0" borderId="0" xfId="0" applyFont="1" applyFill="1" applyAlignment="1"/>
    <xf numFmtId="0" fontId="6" fillId="0" borderId="0" xfId="1"/>
    <xf numFmtId="1" fontId="7" fillId="0" borderId="0" xfId="0" applyNumberFormat="1" applyFont="1" applyAlignment="1"/>
    <xf numFmtId="1" fontId="0" fillId="0" borderId="0" xfId="0" applyNumberFormat="1" applyFont="1" applyAlignment="1"/>
    <xf numFmtId="0" fontId="12" fillId="0" borderId="0" xfId="0" applyFont="1" applyAlignment="1"/>
    <xf numFmtId="2" fontId="0" fillId="0" borderId="0" xfId="0" applyNumberFormat="1" applyFont="1" applyAlignment="1"/>
    <xf numFmtId="0" fontId="6" fillId="3" borderId="0" xfId="1" applyFill="1"/>
    <xf numFmtId="0" fontId="13" fillId="6" borderId="0" xfId="1" applyFont="1" applyFill="1"/>
    <xf numFmtId="165" fontId="6" fillId="0" borderId="0" xfId="1" applyNumberFormat="1"/>
    <xf numFmtId="0" fontId="15" fillId="0" borderId="0" xfId="1" applyFont="1" applyAlignment="1">
      <alignment vertical="top"/>
    </xf>
    <xf numFmtId="0" fontId="16" fillId="0" borderId="0" xfId="1" applyFont="1" applyAlignment="1">
      <alignment vertical="top"/>
    </xf>
    <xf numFmtId="167" fontId="18" fillId="0" borderId="0" xfId="1" applyNumberFormat="1" applyFont="1" applyAlignment="1">
      <alignment horizontal="left" vertical="top"/>
    </xf>
    <xf numFmtId="0" fontId="19" fillId="0" borderId="0" xfId="1" applyFont="1" applyAlignment="1">
      <alignment vertical="top"/>
    </xf>
    <xf numFmtId="167" fontId="21" fillId="0" borderId="0" xfId="1" applyNumberFormat="1" applyFont="1" applyAlignment="1">
      <alignment horizontal="left" vertical="top"/>
    </xf>
    <xf numFmtId="14" fontId="6" fillId="0" borderId="0" xfId="1" applyNumberFormat="1"/>
    <xf numFmtId="167" fontId="20" fillId="0" borderId="0" xfId="1" applyNumberFormat="1" applyFont="1" applyAlignment="1">
      <alignment horizontal="center" vertical="center"/>
    </xf>
    <xf numFmtId="0" fontId="22" fillId="9" borderId="0" xfId="0" applyFont="1" applyFill="1" applyAlignment="1">
      <alignment horizontal="center" vertical="center" wrapText="1"/>
    </xf>
    <xf numFmtId="0" fontId="0" fillId="0" borderId="2" xfId="0" applyFont="1" applyBorder="1" applyAlignment="1"/>
    <xf numFmtId="167" fontId="20" fillId="0" borderId="4" xfId="1" applyNumberFormat="1" applyFont="1" applyBorder="1" applyAlignment="1">
      <alignment horizontal="center" vertical="center"/>
    </xf>
    <xf numFmtId="0" fontId="0" fillId="0" borderId="3" xfId="0" applyFont="1" applyBorder="1" applyAlignment="1"/>
    <xf numFmtId="0" fontId="0" fillId="0" borderId="0" xfId="0" applyFont="1" applyBorder="1" applyAlignment="1"/>
    <xf numFmtId="0" fontId="12" fillId="10" borderId="0" xfId="0" applyFont="1" applyFill="1" applyAlignment="1">
      <alignment horizontal="center"/>
    </xf>
    <xf numFmtId="0" fontId="12" fillId="12" borderId="0" xfId="0" applyFont="1" applyFill="1" applyAlignment="1"/>
    <xf numFmtId="0" fontId="15" fillId="0" borderId="0" xfId="1" applyFont="1" applyFill="1" applyAlignment="1">
      <alignment vertical="top"/>
    </xf>
    <xf numFmtId="0" fontId="25" fillId="0" borderId="0" xfId="0" applyFont="1" applyAlignment="1">
      <alignment vertical="center"/>
    </xf>
    <xf numFmtId="0" fontId="25" fillId="9" borderId="0" xfId="0" applyFont="1" applyFill="1" applyAlignment="1">
      <alignment horizontal="center" vertical="center" wrapText="1"/>
    </xf>
    <xf numFmtId="0" fontId="26" fillId="0" borderId="0" xfId="0" applyFont="1" applyAlignment="1">
      <alignment vertical="center"/>
    </xf>
    <xf numFmtId="0" fontId="25" fillId="9" borderId="0" xfId="0" applyFont="1" applyFill="1" applyAlignment="1">
      <alignment horizontal="left" vertical="center" wrapText="1"/>
    </xf>
    <xf numFmtId="167" fontId="28" fillId="0" borderId="0" xfId="1" applyNumberFormat="1" applyFont="1" applyFill="1" applyAlignment="1">
      <alignment horizontal="left" vertical="top"/>
    </xf>
    <xf numFmtId="0" fontId="23" fillId="0" borderId="0" xfId="0" applyFont="1" applyAlignment="1">
      <alignment horizontal="left" vertical="top" shrinkToFit="1"/>
    </xf>
    <xf numFmtId="0" fontId="24" fillId="0" borderId="0" xfId="0" applyFont="1" applyAlignment="1">
      <alignment horizontal="left" vertical="top"/>
    </xf>
    <xf numFmtId="0" fontId="23" fillId="0" borderId="0" xfId="0" applyFont="1" applyAlignment="1">
      <alignment horizontal="left" vertical="top"/>
    </xf>
    <xf numFmtId="0" fontId="0" fillId="0" borderId="0" xfId="0" applyFont="1" applyAlignment="1" applyProtection="1"/>
    <xf numFmtId="0" fontId="29" fillId="0" borderId="0" xfId="0" applyFont="1" applyAlignment="1"/>
    <xf numFmtId="0" fontId="16" fillId="0" borderId="0" xfId="1" applyFont="1" applyFill="1" applyAlignment="1">
      <alignment vertical="top"/>
    </xf>
    <xf numFmtId="0" fontId="0" fillId="0" borderId="0" xfId="0" applyFont="1" applyAlignment="1" applyProtection="1">
      <protection locked="0"/>
    </xf>
    <xf numFmtId="0" fontId="12" fillId="0" borderId="0" xfId="0" applyFont="1" applyAlignment="1" applyProtection="1">
      <alignment wrapText="1"/>
      <protection locked="0"/>
    </xf>
    <xf numFmtId="164" fontId="11" fillId="0" borderId="0" xfId="0" applyNumberFormat="1" applyFont="1" applyAlignment="1" applyProtection="1">
      <alignment wrapText="1"/>
      <protection locked="0"/>
    </xf>
    <xf numFmtId="14" fontId="0" fillId="0" borderId="0" xfId="0" applyNumberFormat="1" applyFont="1" applyAlignment="1" applyProtection="1">
      <protection locked="0"/>
    </xf>
    <xf numFmtId="164" fontId="11" fillId="0" borderId="0" xfId="0" applyNumberFormat="1" applyFont="1" applyFill="1" applyAlignment="1" applyProtection="1">
      <alignment wrapText="1"/>
      <protection locked="0"/>
    </xf>
    <xf numFmtId="164" fontId="11" fillId="0" borderId="0" xfId="0" applyNumberFormat="1" applyFont="1" applyAlignment="1" applyProtection="1">
      <protection locked="0"/>
    </xf>
    <xf numFmtId="164" fontId="11" fillId="0" borderId="0" xfId="0" applyNumberFormat="1" applyFont="1" applyFill="1" applyAlignment="1" applyProtection="1">
      <protection locked="0"/>
    </xf>
    <xf numFmtId="0" fontId="12" fillId="0" borderId="0" xfId="0" applyFont="1" applyAlignment="1" applyProtection="1"/>
    <xf numFmtId="0" fontId="7" fillId="0" borderId="0" xfId="0" applyFont="1" applyAlignment="1" applyProtection="1">
      <protection locked="0"/>
    </xf>
    <xf numFmtId="0" fontId="14" fillId="0" borderId="0" xfId="0" applyFont="1" applyAlignment="1" applyProtection="1">
      <protection locked="0"/>
    </xf>
    <xf numFmtId="0" fontId="7" fillId="2" borderId="0" xfId="0" applyFont="1" applyFill="1" applyAlignment="1" applyProtection="1">
      <protection locked="0"/>
    </xf>
    <xf numFmtId="0" fontId="7" fillId="0" borderId="0" xfId="0" applyFont="1" applyProtection="1">
      <protection locked="0"/>
    </xf>
    <xf numFmtId="0" fontId="7" fillId="7" borderId="0" xfId="0" applyFont="1" applyFill="1" applyAlignment="1" applyProtection="1">
      <protection locked="0"/>
    </xf>
    <xf numFmtId="0" fontId="7" fillId="0" borderId="0" xfId="0" applyFont="1" applyFill="1" applyAlignment="1" applyProtection="1">
      <protection locked="0"/>
    </xf>
    <xf numFmtId="0" fontId="0" fillId="0" borderId="0" xfId="0" applyFont="1" applyFill="1" applyAlignment="1" applyProtection="1">
      <protection locked="0"/>
    </xf>
    <xf numFmtId="0" fontId="7" fillId="0" borderId="0" xfId="0" applyFont="1" applyAlignment="1" applyProtection="1"/>
    <xf numFmtId="0" fontId="7" fillId="2" borderId="0" xfId="0" applyFont="1" applyFill="1" applyAlignment="1" applyProtection="1"/>
    <xf numFmtId="0" fontId="7" fillId="7" borderId="0" xfId="0" applyFont="1" applyFill="1" applyAlignment="1" applyProtection="1"/>
    <xf numFmtId="0" fontId="7" fillId="0" borderId="0" xfId="0" applyFont="1" applyFill="1" applyAlignment="1" applyProtection="1"/>
    <xf numFmtId="0" fontId="10" fillId="0" borderId="0" xfId="0" applyFont="1" applyFill="1" applyAlignment="1" applyProtection="1"/>
    <xf numFmtId="0" fontId="0" fillId="0" borderId="0" xfId="0" applyFont="1" applyFill="1" applyAlignment="1" applyProtection="1"/>
    <xf numFmtId="0" fontId="7" fillId="2" borderId="0" xfId="0" applyFont="1" applyFill="1" applyAlignment="1" applyProtection="1">
      <alignment horizontal="right"/>
    </xf>
    <xf numFmtId="0" fontId="14" fillId="0" borderId="0" xfId="0" applyFont="1" applyAlignment="1" applyProtection="1"/>
    <xf numFmtId="2" fontId="14" fillId="8" borderId="0" xfId="0" applyNumberFormat="1" applyFont="1" applyFill="1" applyAlignment="1"/>
    <xf numFmtId="0" fontId="2" fillId="0" borderId="1" xfId="5" applyBorder="1" applyProtection="1">
      <protection locked="0"/>
    </xf>
    <xf numFmtId="0" fontId="2" fillId="0" borderId="0" xfId="5"/>
    <xf numFmtId="0" fontId="1" fillId="0" borderId="1" xfId="5" applyFont="1" applyBorder="1" applyProtection="1">
      <protection locked="0"/>
    </xf>
    <xf numFmtId="0" fontId="1" fillId="0" borderId="0" xfId="6"/>
    <xf numFmtId="0" fontId="12" fillId="10" borderId="0" xfId="0" applyFont="1" applyFill="1" applyAlignment="1">
      <alignment horizontal="center"/>
    </xf>
    <xf numFmtId="0" fontId="0" fillId="10" borderId="0" xfId="0" applyFont="1" applyFill="1" applyAlignment="1">
      <alignment horizontal="center"/>
    </xf>
    <xf numFmtId="0" fontId="12" fillId="11" borderId="0" xfId="0" applyFont="1" applyFill="1" applyAlignment="1">
      <alignment horizontal="center"/>
    </xf>
    <xf numFmtId="0" fontId="0" fillId="11" borderId="0" xfId="0" applyFont="1" applyFill="1" applyAlignment="1">
      <alignment horizontal="center"/>
    </xf>
  </cellXfs>
  <cellStyles count="7">
    <cellStyle name="Normal" xfId="0" builtinId="0"/>
    <cellStyle name="Normal 2" xfId="1" xr:uid="{00000000-0005-0000-0000-00002F000000}"/>
    <cellStyle name="Normal 3" xfId="2" xr:uid="{00000000-0005-0000-0000-000030000000}"/>
    <cellStyle name="Normal 4" xfId="3" xr:uid="{00000000-0005-0000-0000-000033000000}"/>
    <cellStyle name="Normal 5" xfId="4" xr:uid="{00000000-0005-0000-0000-000034000000}"/>
    <cellStyle name="Normal 6" xfId="5" xr:uid="{00000000-0005-0000-0000-000033000000}"/>
    <cellStyle name="Normal 7" xfId="6" xr:uid="{00000000-0005-0000-0000-000034000000}"/>
  </cellStyles>
  <dxfs count="13">
    <dxf>
      <fill>
        <patternFill patternType="solid">
          <fgColor rgb="FFEA9999"/>
          <bgColor rgb="FFEA9999"/>
        </patternFill>
      </fill>
    </dxf>
    <dxf>
      <fill>
        <patternFill patternType="solid">
          <fgColor rgb="FFEA9999"/>
          <bgColor rgb="FFEA9999"/>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s>
  <tableStyles count="0" defaultTableStyle="TableStyleMedium2" defaultPivotStyle="PivotStyleLight16"/>
  <colors>
    <mruColors>
      <color rgb="FF44FE4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50077936503123"/>
          <c:y val="5.146198830409357E-2"/>
          <c:w val="0.81764978524999532"/>
          <c:h val="0.60980908965326708"/>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131-4142-8B49-7A4D2C91A685}"/>
                </c:ext>
              </c:extLst>
            </c:dLbl>
            <c:numFmt formatCode="#,##0.0\ &quot;K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1"/>
            <c:showSerName val="0"/>
            <c:showPercent val="0"/>
            <c:showBubbleSize val="0"/>
            <c:separator>
</c:separator>
            <c:showLeaderLines val="0"/>
            <c:extLst>
              <c:ext xmlns:c15="http://schemas.microsoft.com/office/drawing/2012/chart" uri="{CE6537A1-D6FC-4f65-9D91-7224C49458BB}">
                <c15:showLeaderLines val="0"/>
              </c:ext>
            </c:extLst>
          </c:dLbls>
          <c:errBars>
            <c:errDir val="y"/>
            <c:errBarType val="minus"/>
            <c:errValType val="cust"/>
            <c:noEndCap val="1"/>
            <c:plus>
              <c:numLit>
                <c:formatCode>General</c:formatCode>
                <c:ptCount val="1"/>
                <c:pt idx="0">
                  <c:v>1</c:v>
                </c:pt>
              </c:numLit>
            </c:plus>
            <c:minus>
              <c:numRef>
                <c:f>SELECTOR!$B$6</c:f>
                <c:numCache>
                  <c:formatCode>General</c:formatCode>
                  <c:ptCount val="1"/>
                  <c:pt idx="0">
                    <c:v>11.396165249624779</c:v>
                  </c:pt>
                </c:numCache>
              </c:numRef>
            </c:minus>
            <c:spPr>
              <a:noFill/>
              <a:ln w="9525" cap="flat" cmpd="sng" algn="ctr">
                <a:solidFill>
                  <a:schemeClr val="tx1">
                    <a:lumMod val="65000"/>
                    <a:lumOff val="35000"/>
                  </a:schemeClr>
                </a:solidFill>
                <a:round/>
              </a:ln>
              <a:effectLst/>
            </c:spPr>
          </c:errBars>
          <c:errBars>
            <c:errDir val="x"/>
            <c:errBarType val="both"/>
            <c:errValType val="fixedVal"/>
            <c:noEndCap val="0"/>
            <c:val val="1"/>
            <c:spPr>
              <a:noFill/>
              <a:ln w="9525" cap="flat" cmpd="sng" algn="ctr">
                <a:solidFill>
                  <a:schemeClr val="tx1">
                    <a:lumMod val="65000"/>
                    <a:lumOff val="35000"/>
                  </a:schemeClr>
                </a:solidFill>
                <a:round/>
              </a:ln>
              <a:effectLst/>
            </c:spPr>
          </c:errBars>
          <c:xVal>
            <c:numRef>
              <c:f>SELECTOR!$B$3</c:f>
              <c:numCache>
                <c:formatCode>m/d/yyyy</c:formatCode>
                <c:ptCount val="1"/>
                <c:pt idx="0">
                  <c:v>44039</c:v>
                </c:pt>
              </c:numCache>
            </c:numRef>
          </c:xVal>
          <c:yVal>
            <c:numRef>
              <c:f>SELECTOR!$B$6</c:f>
              <c:numCache>
                <c:formatCode>0.0</c:formatCode>
                <c:ptCount val="1"/>
                <c:pt idx="0">
                  <c:v>11.396165249624779</c:v>
                </c:pt>
              </c:numCache>
            </c:numRef>
          </c:yVal>
          <c:smooth val="0"/>
          <c:extLst>
            <c:ext xmlns:c16="http://schemas.microsoft.com/office/drawing/2014/chart" uri="{C3380CC4-5D6E-409C-BE32-E72D297353CC}">
              <c16:uniqueId val="{00000001-9131-4142-8B49-7A4D2C91A685}"/>
            </c:ext>
          </c:extLst>
        </c:ser>
        <c:ser>
          <c:idx val="1"/>
          <c:order val="1"/>
          <c:spPr>
            <a:ln w="19050">
              <a:noFill/>
            </a:ln>
          </c:spP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SELECTOR!$D$12:$D$13</c:f>
              <c:numCache>
                <c:formatCode>m/d/yyyy</c:formatCode>
                <c:ptCount val="2"/>
                <c:pt idx="0">
                  <c:v>43839</c:v>
                </c:pt>
                <c:pt idx="1">
                  <c:v>44239</c:v>
                </c:pt>
              </c:numCache>
            </c:numRef>
          </c:xVal>
          <c:yVal>
            <c:numRef>
              <c:f>SELECTOR!$E$12:$E$13</c:f>
              <c:numCache>
                <c:formatCode>General</c:formatCode>
                <c:ptCount val="2"/>
                <c:pt idx="0">
                  <c:v>4</c:v>
                </c:pt>
                <c:pt idx="1">
                  <c:v>4</c:v>
                </c:pt>
              </c:numCache>
            </c:numRef>
          </c:yVal>
          <c:smooth val="0"/>
          <c:extLst>
            <c:ext xmlns:c16="http://schemas.microsoft.com/office/drawing/2014/chart" uri="{C3380CC4-5D6E-409C-BE32-E72D297353CC}">
              <c16:uniqueId val="{00000002-9131-4142-8B49-7A4D2C91A685}"/>
            </c:ext>
          </c:extLst>
        </c:ser>
        <c:dLbls>
          <c:dLblPos val="t"/>
          <c:showLegendKey val="0"/>
          <c:showVal val="1"/>
          <c:showCatName val="0"/>
          <c:showSerName val="0"/>
          <c:showPercent val="0"/>
          <c:showBubbleSize val="0"/>
        </c:dLbls>
        <c:axId val="1276284031"/>
        <c:axId val="1456430271"/>
      </c:scatterChart>
      <c:valAx>
        <c:axId val="12762840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Fecha de análisis</a:t>
                </a:r>
              </a:p>
            </c:rich>
          </c:tx>
          <c:layout>
            <c:manualLayout>
              <c:xMode val="edge"/>
              <c:yMode val="edge"/>
              <c:x val="0.39698759513508425"/>
              <c:y val="0.9054735000230234"/>
            </c:manualLayout>
          </c:layout>
          <c:overlay val="0"/>
          <c:spPr>
            <a:noFill/>
            <a:ln>
              <a:noFill/>
            </a:ln>
            <a:effectLst/>
          </c:spPr>
        </c:title>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6430271"/>
        <c:crosses val="autoZero"/>
        <c:crossBetween val="midCat"/>
      </c:valAx>
      <c:valAx>
        <c:axId val="1456430271"/>
        <c:scaling>
          <c:orientation val="minMax"/>
          <c:max val="14"/>
          <c:min val="5"/>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Media de Largo Telomérico</a:t>
                </a:r>
                <a:r>
                  <a:rPr lang="en-US" baseline="0"/>
                  <a:t> (Kb)</a:t>
                </a:r>
                <a:endParaRPr lang="en-US"/>
              </a:p>
            </c:rich>
          </c:tx>
          <c:overlay val="0"/>
          <c:spPr>
            <a:noFill/>
            <a:ln>
              <a:noFill/>
            </a:ln>
            <a:effectLst/>
          </c:sp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6284031"/>
        <c:crosses val="autoZero"/>
        <c:crossBetween val="midCat"/>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SELECTOR!$B$3</c:f>
              <c:strCache>
                <c:ptCount val="1"/>
                <c:pt idx="0">
                  <c:v>27/07/2020</c:v>
                </c:pt>
              </c:strCache>
            </c:strRef>
          </c:tx>
          <c:spPr>
            <a:ln w="25400" cap="rnd">
              <a:noFill/>
              <a:round/>
            </a:ln>
            <a:effectLst/>
          </c:spPr>
          <c:marker>
            <c:symbol val="circle"/>
            <c:size val="5"/>
            <c:spPr>
              <a:solidFill>
                <a:srgbClr val="00B050"/>
              </a:solidFill>
              <a:ln w="9525">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ln>
              <a:effectLst/>
            </c:spPr>
          </c:marker>
          <c:dLbls>
            <c:dLbl>
              <c:idx val="0"/>
              <c:layout>
                <c:manualLayout>
                  <c:x val="-0.13304077968722403"/>
                  <c:y val="-0.1435185185185185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5F22-4B2C-B896-B2CA58691F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SELECTOR!$B$4</c:f>
              <c:numCache>
                <c:formatCode>General</c:formatCode>
                <c:ptCount val="1"/>
                <c:pt idx="0">
                  <c:v>43.372522318571797</c:v>
                </c:pt>
              </c:numCache>
            </c:numRef>
          </c:xVal>
          <c:yVal>
            <c:numRef>
              <c:f>SELECTOR!$B$5</c:f>
              <c:numCache>
                <c:formatCode>General</c:formatCode>
                <c:ptCount val="1"/>
                <c:pt idx="0">
                  <c:v>37.18611111111111</c:v>
                </c:pt>
              </c:numCache>
            </c:numRef>
          </c:yVal>
          <c:smooth val="0"/>
          <c:extLst>
            <c:ext xmlns:c16="http://schemas.microsoft.com/office/drawing/2014/chart" uri="{C3380CC4-5D6E-409C-BE32-E72D297353CC}">
              <c16:uniqueId val="{00000001-5F22-4B2C-B896-B2CA58691FD3}"/>
            </c:ext>
          </c:extLst>
        </c:ser>
        <c:ser>
          <c:idx val="1"/>
          <c:order val="1"/>
          <c:spPr>
            <a:ln w="25400" cap="rnd">
              <a:noFill/>
              <a:round/>
            </a:ln>
            <a:effectLst/>
          </c:spPr>
          <c:marker>
            <c:symbol val="none"/>
          </c:marker>
          <c:trendline>
            <c:spPr>
              <a:ln w="38100" cap="rnd">
                <a:solidFill>
                  <a:schemeClr val="accent1">
                    <a:alpha val="40000"/>
                  </a:schemeClr>
                </a:solidFill>
                <a:prstDash val="solid"/>
              </a:ln>
              <a:effectLst/>
            </c:spPr>
            <c:trendlineType val="linear"/>
            <c:dispRSqr val="0"/>
            <c:dispEq val="0"/>
          </c:trendline>
          <c:xVal>
            <c:numRef>
              <c:f>SELECTOR!$I$3:$I$4</c:f>
              <c:numCache>
                <c:formatCode>General</c:formatCode>
                <c:ptCount val="2"/>
                <c:pt idx="0">
                  <c:v>0</c:v>
                </c:pt>
                <c:pt idx="1">
                  <c:v>100</c:v>
                </c:pt>
              </c:numCache>
            </c:numRef>
          </c:xVal>
          <c:yVal>
            <c:numRef>
              <c:f>SELECTOR!$J$3:$J$4</c:f>
              <c:numCache>
                <c:formatCode>General</c:formatCode>
                <c:ptCount val="2"/>
                <c:pt idx="0">
                  <c:v>0</c:v>
                </c:pt>
                <c:pt idx="1">
                  <c:v>100</c:v>
                </c:pt>
              </c:numCache>
            </c:numRef>
          </c:yVal>
          <c:smooth val="0"/>
          <c:extLst>
            <c:ext xmlns:c16="http://schemas.microsoft.com/office/drawing/2014/chart" uri="{C3380CC4-5D6E-409C-BE32-E72D297353CC}">
              <c16:uniqueId val="{00000003-5F22-4B2C-B896-B2CA58691FD3}"/>
            </c:ext>
          </c:extLst>
        </c:ser>
        <c:dLbls>
          <c:showLegendKey val="0"/>
          <c:showVal val="0"/>
          <c:showCatName val="0"/>
          <c:showSerName val="0"/>
          <c:showPercent val="0"/>
          <c:showBubbleSize val="0"/>
        </c:dLbls>
        <c:axId val="1145433519"/>
        <c:axId val="1456461055"/>
      </c:scatterChart>
      <c:valAx>
        <c:axId val="1145433519"/>
        <c:scaling>
          <c:orientation val="minMax"/>
          <c:max val="100"/>
          <c:min val="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Edad biológica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6461055"/>
        <c:crosses val="autoZero"/>
        <c:crossBetween val="midCat"/>
        <c:majorUnit val="10"/>
      </c:valAx>
      <c:valAx>
        <c:axId val="1456461055"/>
        <c:scaling>
          <c:orientation val="minMax"/>
          <c:max val="1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Edad cronológica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54335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a:latin typeface="Montserrat" panose="00000500000000000000" pitchFamily="2" charset="0"/>
              </a:rPr>
              <a:t>Percentiles de Media de Longitud Telomérica</a:t>
            </a:r>
            <a:r>
              <a:rPr lang="en-US" sz="1000" baseline="0">
                <a:latin typeface="Montserrat" panose="00000500000000000000" pitchFamily="2" charset="0"/>
              </a:rPr>
              <a:t> - </a:t>
            </a:r>
            <a:r>
              <a:rPr lang="en-US" sz="1000">
                <a:latin typeface="Montserrat" panose="00000500000000000000" pitchFamily="2" charset="0"/>
              </a:rPr>
              <a:t>MLT (Kb)</a:t>
            </a:r>
          </a:p>
        </c:rich>
      </c:tx>
      <c:layout>
        <c:manualLayout>
          <c:xMode val="edge"/>
          <c:yMode val="edge"/>
          <c:x val="7.7555651802799955E-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219091034673301E-2"/>
          <c:y val="0.14431584767484823"/>
          <c:w val="0.84626547439167399"/>
          <c:h val="0.62974431927453889"/>
        </c:manualLayout>
      </c:layout>
      <c:areaChart>
        <c:grouping val="standard"/>
        <c:varyColors val="0"/>
        <c:ser>
          <c:idx val="1"/>
          <c:order val="0"/>
          <c:tx>
            <c:strRef>
              <c:f>RANGES!$H$7</c:f>
              <c:strCache>
                <c:ptCount val="1"/>
                <c:pt idx="0">
                  <c:v>es abundante</c:v>
                </c:pt>
              </c:strCache>
            </c:strRef>
          </c:tx>
          <c:spPr>
            <a:solidFill>
              <a:srgbClr val="0070C0"/>
            </a:solidFill>
            <a:ln w="25400">
              <a:noFill/>
            </a:ln>
            <a:effectLst/>
          </c:spPr>
          <c:cat>
            <c:numRef>
              <c:f>RANGES!$A$8:$A$15</c:f>
              <c:numCache>
                <c:formatCode>General</c:formatCode>
                <c:ptCount val="8"/>
                <c:pt idx="0">
                  <c:v>15</c:v>
                </c:pt>
                <c:pt idx="1">
                  <c:v>25</c:v>
                </c:pt>
                <c:pt idx="2">
                  <c:v>35</c:v>
                </c:pt>
                <c:pt idx="3">
                  <c:v>45</c:v>
                </c:pt>
                <c:pt idx="4">
                  <c:v>55</c:v>
                </c:pt>
                <c:pt idx="5">
                  <c:v>65</c:v>
                </c:pt>
                <c:pt idx="6">
                  <c:v>75</c:v>
                </c:pt>
                <c:pt idx="7">
                  <c:v>85</c:v>
                </c:pt>
              </c:numCache>
            </c:numRef>
          </c:cat>
          <c:val>
            <c:numRef>
              <c:f>RANGES!$H$8:$H$15</c:f>
              <c:numCache>
                <c:formatCode>General</c:formatCode>
                <c:ptCount val="8"/>
                <c:pt idx="0">
                  <c:v>17</c:v>
                </c:pt>
                <c:pt idx="1">
                  <c:v>15.8</c:v>
                </c:pt>
                <c:pt idx="2">
                  <c:v>15</c:v>
                </c:pt>
                <c:pt idx="3">
                  <c:v>14.2</c:v>
                </c:pt>
                <c:pt idx="4">
                  <c:v>13.2</c:v>
                </c:pt>
                <c:pt idx="5">
                  <c:v>12.2</c:v>
                </c:pt>
                <c:pt idx="6">
                  <c:v>10.8</c:v>
                </c:pt>
                <c:pt idx="7">
                  <c:v>9.1</c:v>
                </c:pt>
              </c:numCache>
            </c:numRef>
          </c:val>
          <c:extLst>
            <c:ext xmlns:c16="http://schemas.microsoft.com/office/drawing/2014/chart" uri="{C3380CC4-5D6E-409C-BE32-E72D297353CC}">
              <c16:uniqueId val="{00000000-3267-4144-98F5-DB2F706EB5B7}"/>
            </c:ext>
          </c:extLst>
        </c:ser>
        <c:ser>
          <c:idx val="8"/>
          <c:order val="1"/>
          <c:tx>
            <c:strRef>
              <c:f>RANGES!$G$7</c:f>
              <c:strCache>
                <c:ptCount val="1"/>
                <c:pt idx="0">
                  <c:v>es larga</c:v>
                </c:pt>
              </c:strCache>
            </c:strRef>
          </c:tx>
          <c:spPr>
            <a:solidFill>
              <a:srgbClr val="00B050"/>
            </a:solidFill>
            <a:ln w="25400">
              <a:noFill/>
            </a:ln>
            <a:effectLst/>
          </c:spPr>
          <c:cat>
            <c:numRef>
              <c:f>RANGES!$A$8:$A$15</c:f>
              <c:numCache>
                <c:formatCode>General</c:formatCode>
                <c:ptCount val="8"/>
                <c:pt idx="0">
                  <c:v>15</c:v>
                </c:pt>
                <c:pt idx="1">
                  <c:v>25</c:v>
                </c:pt>
                <c:pt idx="2">
                  <c:v>35</c:v>
                </c:pt>
                <c:pt idx="3">
                  <c:v>45</c:v>
                </c:pt>
                <c:pt idx="4">
                  <c:v>55</c:v>
                </c:pt>
                <c:pt idx="5">
                  <c:v>65</c:v>
                </c:pt>
                <c:pt idx="6">
                  <c:v>75</c:v>
                </c:pt>
                <c:pt idx="7">
                  <c:v>85</c:v>
                </c:pt>
              </c:numCache>
            </c:numRef>
          </c:cat>
          <c:val>
            <c:numRef>
              <c:f>RANGES!$G$8:$G$15</c:f>
              <c:numCache>
                <c:formatCode>General</c:formatCode>
                <c:ptCount val="8"/>
                <c:pt idx="0">
                  <c:v>16.399999999999999</c:v>
                </c:pt>
                <c:pt idx="1">
                  <c:v>15.1</c:v>
                </c:pt>
                <c:pt idx="2">
                  <c:v>14.2</c:v>
                </c:pt>
                <c:pt idx="3">
                  <c:v>13.5</c:v>
                </c:pt>
                <c:pt idx="4">
                  <c:v>12.7</c:v>
                </c:pt>
                <c:pt idx="5">
                  <c:v>11.8</c:v>
                </c:pt>
                <c:pt idx="6">
                  <c:v>10.3</c:v>
                </c:pt>
                <c:pt idx="7">
                  <c:v>8.3000000000000007</c:v>
                </c:pt>
              </c:numCache>
            </c:numRef>
          </c:val>
          <c:extLst>
            <c:ext xmlns:c16="http://schemas.microsoft.com/office/drawing/2014/chart" uri="{C3380CC4-5D6E-409C-BE32-E72D297353CC}">
              <c16:uniqueId val="{00000001-3267-4144-98F5-DB2F706EB5B7}"/>
            </c:ext>
          </c:extLst>
        </c:ser>
        <c:ser>
          <c:idx val="7"/>
          <c:order val="2"/>
          <c:tx>
            <c:strRef>
              <c:f>RANGES!$F$7</c:f>
              <c:strCache>
                <c:ptCount val="1"/>
                <c:pt idx="0">
                  <c:v>normal superior</c:v>
                </c:pt>
              </c:strCache>
            </c:strRef>
          </c:tx>
          <c:spPr>
            <a:solidFill>
              <a:srgbClr val="92D050"/>
            </a:solidFill>
            <a:ln w="25400">
              <a:noFill/>
            </a:ln>
            <a:effectLst/>
          </c:spPr>
          <c:cat>
            <c:numRef>
              <c:f>RANGES!$A$8:$A$15</c:f>
              <c:numCache>
                <c:formatCode>General</c:formatCode>
                <c:ptCount val="8"/>
                <c:pt idx="0">
                  <c:v>15</c:v>
                </c:pt>
                <c:pt idx="1">
                  <c:v>25</c:v>
                </c:pt>
                <c:pt idx="2">
                  <c:v>35</c:v>
                </c:pt>
                <c:pt idx="3">
                  <c:v>45</c:v>
                </c:pt>
                <c:pt idx="4">
                  <c:v>55</c:v>
                </c:pt>
                <c:pt idx="5">
                  <c:v>65</c:v>
                </c:pt>
                <c:pt idx="6">
                  <c:v>75</c:v>
                </c:pt>
                <c:pt idx="7">
                  <c:v>85</c:v>
                </c:pt>
              </c:numCache>
            </c:numRef>
          </c:cat>
          <c:val>
            <c:numRef>
              <c:f>RANGES!$F$8:$F$15</c:f>
              <c:numCache>
                <c:formatCode>General</c:formatCode>
                <c:ptCount val="8"/>
                <c:pt idx="0">
                  <c:v>14.4</c:v>
                </c:pt>
                <c:pt idx="1">
                  <c:v>13.8</c:v>
                </c:pt>
                <c:pt idx="2">
                  <c:v>13.2</c:v>
                </c:pt>
                <c:pt idx="3">
                  <c:v>12.5</c:v>
                </c:pt>
                <c:pt idx="4">
                  <c:v>11.7</c:v>
                </c:pt>
                <c:pt idx="5">
                  <c:v>10.7</c:v>
                </c:pt>
                <c:pt idx="6">
                  <c:v>9.3000000000000007</c:v>
                </c:pt>
                <c:pt idx="7">
                  <c:v>7.5</c:v>
                </c:pt>
              </c:numCache>
            </c:numRef>
          </c:val>
          <c:extLst>
            <c:ext xmlns:c16="http://schemas.microsoft.com/office/drawing/2014/chart" uri="{C3380CC4-5D6E-409C-BE32-E72D297353CC}">
              <c16:uniqueId val="{00000002-3267-4144-98F5-DB2F706EB5B7}"/>
            </c:ext>
          </c:extLst>
        </c:ser>
        <c:ser>
          <c:idx val="2"/>
          <c:order val="3"/>
          <c:tx>
            <c:strRef>
              <c:f>RANGES!$E$7</c:f>
              <c:strCache>
                <c:ptCount val="1"/>
                <c:pt idx="0">
                  <c:v>normal inferior</c:v>
                </c:pt>
              </c:strCache>
            </c:strRef>
          </c:tx>
          <c:spPr>
            <a:solidFill>
              <a:srgbClr val="FFFF00"/>
            </a:solidFill>
            <a:ln w="25400">
              <a:noFill/>
            </a:ln>
            <a:effectLst/>
          </c:spPr>
          <c:cat>
            <c:numRef>
              <c:f>RANGES!$A$8:$A$15</c:f>
              <c:numCache>
                <c:formatCode>General</c:formatCode>
                <c:ptCount val="8"/>
                <c:pt idx="0">
                  <c:v>15</c:v>
                </c:pt>
                <c:pt idx="1">
                  <c:v>25</c:v>
                </c:pt>
                <c:pt idx="2">
                  <c:v>35</c:v>
                </c:pt>
                <c:pt idx="3">
                  <c:v>45</c:v>
                </c:pt>
                <c:pt idx="4">
                  <c:v>55</c:v>
                </c:pt>
                <c:pt idx="5">
                  <c:v>65</c:v>
                </c:pt>
                <c:pt idx="6">
                  <c:v>75</c:v>
                </c:pt>
                <c:pt idx="7">
                  <c:v>85</c:v>
                </c:pt>
              </c:numCache>
            </c:numRef>
          </c:cat>
          <c:val>
            <c:numRef>
              <c:f>RANGES!$E$8:$E$15</c:f>
              <c:numCache>
                <c:formatCode>General</c:formatCode>
                <c:ptCount val="8"/>
                <c:pt idx="0">
                  <c:v>12.9</c:v>
                </c:pt>
                <c:pt idx="1">
                  <c:v>12.6</c:v>
                </c:pt>
                <c:pt idx="2">
                  <c:v>12</c:v>
                </c:pt>
                <c:pt idx="3">
                  <c:v>11.3</c:v>
                </c:pt>
                <c:pt idx="4">
                  <c:v>10.4</c:v>
                </c:pt>
                <c:pt idx="5">
                  <c:v>9.1999999999999993</c:v>
                </c:pt>
                <c:pt idx="6">
                  <c:v>7.8</c:v>
                </c:pt>
                <c:pt idx="7">
                  <c:v>6.2</c:v>
                </c:pt>
              </c:numCache>
            </c:numRef>
          </c:val>
          <c:extLst>
            <c:ext xmlns:c16="http://schemas.microsoft.com/office/drawing/2014/chart" uri="{C3380CC4-5D6E-409C-BE32-E72D297353CC}">
              <c16:uniqueId val="{00000003-3267-4144-98F5-DB2F706EB5B7}"/>
            </c:ext>
          </c:extLst>
        </c:ser>
        <c:ser>
          <c:idx val="6"/>
          <c:order val="4"/>
          <c:tx>
            <c:strRef>
              <c:f>RANGES!$D$7</c:f>
              <c:strCache>
                <c:ptCount val="1"/>
                <c:pt idx="0">
                  <c:v>está reducida</c:v>
                </c:pt>
              </c:strCache>
            </c:strRef>
          </c:tx>
          <c:spPr>
            <a:solidFill>
              <a:srgbClr val="FFC000"/>
            </a:solidFill>
            <a:ln w="25400">
              <a:noFill/>
            </a:ln>
            <a:effectLst/>
          </c:spPr>
          <c:cat>
            <c:numRef>
              <c:f>RANGES!$A$8:$A$15</c:f>
              <c:numCache>
                <c:formatCode>General</c:formatCode>
                <c:ptCount val="8"/>
                <c:pt idx="0">
                  <c:v>15</c:v>
                </c:pt>
                <c:pt idx="1">
                  <c:v>25</c:v>
                </c:pt>
                <c:pt idx="2">
                  <c:v>35</c:v>
                </c:pt>
                <c:pt idx="3">
                  <c:v>45</c:v>
                </c:pt>
                <c:pt idx="4">
                  <c:v>55</c:v>
                </c:pt>
                <c:pt idx="5">
                  <c:v>65</c:v>
                </c:pt>
                <c:pt idx="6">
                  <c:v>75</c:v>
                </c:pt>
                <c:pt idx="7">
                  <c:v>85</c:v>
                </c:pt>
              </c:numCache>
            </c:numRef>
          </c:cat>
          <c:val>
            <c:numRef>
              <c:f>RANGES!$D$8:$D$15</c:f>
              <c:numCache>
                <c:formatCode>General</c:formatCode>
                <c:ptCount val="8"/>
                <c:pt idx="0">
                  <c:v>11.7</c:v>
                </c:pt>
                <c:pt idx="1">
                  <c:v>11.4</c:v>
                </c:pt>
                <c:pt idx="2">
                  <c:v>10.6</c:v>
                </c:pt>
                <c:pt idx="3">
                  <c:v>9.6999999999999993</c:v>
                </c:pt>
                <c:pt idx="4">
                  <c:v>8.6999999999999993</c:v>
                </c:pt>
                <c:pt idx="5">
                  <c:v>7.6</c:v>
                </c:pt>
                <c:pt idx="6">
                  <c:v>6.6</c:v>
                </c:pt>
                <c:pt idx="7">
                  <c:v>5.5</c:v>
                </c:pt>
              </c:numCache>
            </c:numRef>
          </c:val>
          <c:extLst>
            <c:ext xmlns:c16="http://schemas.microsoft.com/office/drawing/2014/chart" uri="{C3380CC4-5D6E-409C-BE32-E72D297353CC}">
              <c16:uniqueId val="{00000004-3267-4144-98F5-DB2F706EB5B7}"/>
            </c:ext>
          </c:extLst>
        </c:ser>
        <c:ser>
          <c:idx val="5"/>
          <c:order val="5"/>
          <c:tx>
            <c:strRef>
              <c:f>RANGES!$C$7</c:f>
              <c:strCache>
                <c:ptCount val="1"/>
                <c:pt idx="0">
                  <c:v>está limitada</c:v>
                </c:pt>
              </c:strCache>
            </c:strRef>
          </c:tx>
          <c:spPr>
            <a:solidFill>
              <a:srgbClr val="FF0000"/>
            </a:solidFill>
            <a:ln w="25400">
              <a:noFill/>
            </a:ln>
            <a:effectLst/>
          </c:spPr>
          <c:cat>
            <c:numRef>
              <c:f>RANGES!$A$8:$A$15</c:f>
              <c:numCache>
                <c:formatCode>General</c:formatCode>
                <c:ptCount val="8"/>
                <c:pt idx="0">
                  <c:v>15</c:v>
                </c:pt>
                <c:pt idx="1">
                  <c:v>25</c:v>
                </c:pt>
                <c:pt idx="2">
                  <c:v>35</c:v>
                </c:pt>
                <c:pt idx="3">
                  <c:v>45</c:v>
                </c:pt>
                <c:pt idx="4">
                  <c:v>55</c:v>
                </c:pt>
                <c:pt idx="5">
                  <c:v>65</c:v>
                </c:pt>
                <c:pt idx="6">
                  <c:v>75</c:v>
                </c:pt>
                <c:pt idx="7">
                  <c:v>85</c:v>
                </c:pt>
              </c:numCache>
            </c:numRef>
          </c:cat>
          <c:val>
            <c:numRef>
              <c:f>RANGES!$C$8:$C$15</c:f>
              <c:numCache>
                <c:formatCode>General</c:formatCode>
                <c:ptCount val="8"/>
                <c:pt idx="0">
                  <c:v>11.3</c:v>
                </c:pt>
                <c:pt idx="1">
                  <c:v>10.3</c:v>
                </c:pt>
                <c:pt idx="2">
                  <c:v>9.3000000000000007</c:v>
                </c:pt>
                <c:pt idx="3">
                  <c:v>8.3000000000000007</c:v>
                </c:pt>
                <c:pt idx="4">
                  <c:v>7.4</c:v>
                </c:pt>
                <c:pt idx="5">
                  <c:v>6.6</c:v>
                </c:pt>
                <c:pt idx="6">
                  <c:v>5.9</c:v>
                </c:pt>
                <c:pt idx="7">
                  <c:v>5.0999999999999996</c:v>
                </c:pt>
              </c:numCache>
            </c:numRef>
          </c:val>
          <c:extLst>
            <c:ext xmlns:c16="http://schemas.microsoft.com/office/drawing/2014/chart" uri="{C3380CC4-5D6E-409C-BE32-E72D297353CC}">
              <c16:uniqueId val="{00000005-3267-4144-98F5-DB2F706EB5B7}"/>
            </c:ext>
          </c:extLst>
        </c:ser>
        <c:ser>
          <c:idx val="0"/>
          <c:order val="6"/>
          <c:tx>
            <c:strRef>
              <c:f>RANGES!$B$7</c:f>
              <c:strCache>
                <c:ptCount val="1"/>
                <c:pt idx="0">
                  <c:v>minimo</c:v>
                </c:pt>
              </c:strCache>
            </c:strRef>
          </c:tx>
          <c:spPr>
            <a:solidFill>
              <a:schemeClr val="bg1"/>
            </a:solidFill>
            <a:ln w="25400">
              <a:noFill/>
            </a:ln>
            <a:effectLst/>
          </c:spPr>
          <c:cat>
            <c:numRef>
              <c:f>RANGES!$A$8:$A$15</c:f>
              <c:numCache>
                <c:formatCode>General</c:formatCode>
                <c:ptCount val="8"/>
                <c:pt idx="0">
                  <c:v>15</c:v>
                </c:pt>
                <c:pt idx="1">
                  <c:v>25</c:v>
                </c:pt>
                <c:pt idx="2">
                  <c:v>35</c:v>
                </c:pt>
                <c:pt idx="3">
                  <c:v>45</c:v>
                </c:pt>
                <c:pt idx="4">
                  <c:v>55</c:v>
                </c:pt>
                <c:pt idx="5">
                  <c:v>65</c:v>
                </c:pt>
                <c:pt idx="6">
                  <c:v>75</c:v>
                </c:pt>
                <c:pt idx="7">
                  <c:v>85</c:v>
                </c:pt>
              </c:numCache>
            </c:numRef>
          </c:cat>
          <c:val>
            <c:numRef>
              <c:f>RANGES!$B$8:$B$15</c:f>
              <c:numCache>
                <c:formatCode>General</c:formatCode>
                <c:ptCount val="8"/>
                <c:pt idx="0">
                  <c:v>11</c:v>
                </c:pt>
                <c:pt idx="1">
                  <c:v>9.9</c:v>
                </c:pt>
                <c:pt idx="2">
                  <c:v>8.9</c:v>
                </c:pt>
                <c:pt idx="3">
                  <c:v>7.9</c:v>
                </c:pt>
                <c:pt idx="4">
                  <c:v>7.1</c:v>
                </c:pt>
                <c:pt idx="5">
                  <c:v>6.2</c:v>
                </c:pt>
                <c:pt idx="6">
                  <c:v>5.4</c:v>
                </c:pt>
                <c:pt idx="7">
                  <c:v>4.5</c:v>
                </c:pt>
              </c:numCache>
            </c:numRef>
          </c:val>
          <c:extLst>
            <c:ext xmlns:c16="http://schemas.microsoft.com/office/drawing/2014/chart" uri="{C3380CC4-5D6E-409C-BE32-E72D297353CC}">
              <c16:uniqueId val="{00000006-3267-4144-98F5-DB2F706EB5B7}"/>
            </c:ext>
          </c:extLst>
        </c:ser>
        <c:dLbls>
          <c:showLegendKey val="0"/>
          <c:showVal val="0"/>
          <c:showCatName val="0"/>
          <c:showSerName val="0"/>
          <c:showPercent val="0"/>
          <c:showBubbleSize val="0"/>
        </c:dLbls>
        <c:axId val="1142609391"/>
        <c:axId val="1142842127"/>
      </c:areaChart>
      <c:scatterChart>
        <c:scatterStyle val="lineMarker"/>
        <c:varyColors val="0"/>
        <c:ser>
          <c:idx val="3"/>
          <c:order val="7"/>
          <c:tx>
            <c:strRef>
              <c:f>SELECTOR!$B$2</c:f>
              <c:strCache>
                <c:ptCount val="1"/>
                <c:pt idx="0">
                  <c:v>MARCELO ENRIQUE POOL SKIADARESSIS</c:v>
                </c:pt>
              </c:strCache>
            </c:strRef>
          </c:tx>
          <c:spPr>
            <a:ln w="25400" cap="rnd">
              <a:noFill/>
              <a:round/>
            </a:ln>
            <a:effectLst/>
          </c:spPr>
          <c:marker>
            <c:symbol val="circle"/>
            <c:size val="5"/>
            <c:spPr>
              <a:solidFill>
                <a:schemeClr val="dk1">
                  <a:tint val="98500"/>
                </a:schemeClr>
              </a:solidFill>
              <a:ln w="9525">
                <a:solidFill>
                  <a:schemeClr val="dk1">
                    <a:tint val="98500"/>
                  </a:schemeClr>
                </a:solidFill>
              </a:ln>
              <a:effectLst/>
            </c:spPr>
          </c:marker>
          <c:dLbls>
            <c:dLbl>
              <c:idx val="0"/>
              <c:layout>
                <c:manualLayout>
                  <c:x val="3.5087719298245612E-2"/>
                  <c:y val="-0.178291122539276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267-4144-98F5-DB2F706EB5B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SELECTOR!$B$5</c:f>
              <c:numCache>
                <c:formatCode>General</c:formatCode>
                <c:ptCount val="1"/>
                <c:pt idx="0">
                  <c:v>37.18611111111111</c:v>
                </c:pt>
              </c:numCache>
            </c:numRef>
          </c:xVal>
          <c:yVal>
            <c:numRef>
              <c:f>SELECTOR!$B$6</c:f>
              <c:numCache>
                <c:formatCode>0.0</c:formatCode>
                <c:ptCount val="1"/>
                <c:pt idx="0">
                  <c:v>11.396165249624779</c:v>
                </c:pt>
              </c:numCache>
            </c:numRef>
          </c:yVal>
          <c:smooth val="0"/>
          <c:extLst>
            <c:ext xmlns:c16="http://schemas.microsoft.com/office/drawing/2014/chart" uri="{C3380CC4-5D6E-409C-BE32-E72D297353CC}">
              <c16:uniqueId val="{00000008-3267-4144-98F5-DB2F706EB5B7}"/>
            </c:ext>
          </c:extLst>
        </c:ser>
        <c:dLbls>
          <c:showLegendKey val="0"/>
          <c:showVal val="0"/>
          <c:showCatName val="0"/>
          <c:showSerName val="0"/>
          <c:showPercent val="0"/>
          <c:showBubbleSize val="0"/>
        </c:dLbls>
        <c:axId val="575189728"/>
        <c:axId val="575187232"/>
      </c:scatterChart>
      <c:catAx>
        <c:axId val="11426093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Edad cronológica (años)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842127"/>
        <c:crosses val="autoZero"/>
        <c:auto val="1"/>
        <c:lblAlgn val="ctr"/>
        <c:lblOffset val="100"/>
        <c:noMultiLvlLbl val="0"/>
      </c:catAx>
      <c:valAx>
        <c:axId val="1142842127"/>
        <c:scaling>
          <c:orientation val="minMax"/>
          <c:max val="18"/>
          <c:min val="2"/>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Largo de telómeros (Kb)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609391"/>
        <c:crosses val="autoZero"/>
        <c:crossBetween val="between"/>
      </c:valAx>
      <c:valAx>
        <c:axId val="575187232"/>
        <c:scaling>
          <c:orientation val="minMax"/>
          <c:max val="18"/>
          <c:min val="2"/>
        </c:scaling>
        <c:delete val="0"/>
        <c:axPos val="r"/>
        <c:numFmt formatCode="0;[Red]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89728"/>
        <c:crosses val="max"/>
        <c:crossBetween val="midCat"/>
        <c:minorUnit val="2"/>
      </c:valAx>
      <c:valAx>
        <c:axId val="575189728"/>
        <c:scaling>
          <c:orientation val="minMax"/>
          <c:max val="90"/>
          <c:min val="10"/>
        </c:scaling>
        <c:delete val="0"/>
        <c:axPos val="t"/>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87232"/>
        <c:crosses val="max"/>
        <c:crossBetween val="midCat"/>
      </c:valAx>
      <c:spPr>
        <a:noFill/>
        <a:ln w="25400">
          <a:noFill/>
        </a:ln>
        <a:effectLst/>
      </c:spPr>
    </c:plotArea>
    <c:legend>
      <c:legendPos val="b"/>
      <c:legendEntry>
        <c:idx val="6"/>
        <c:delete val="1"/>
      </c:legendEntry>
      <c:legendEntry>
        <c:idx val="7"/>
        <c:delete val="1"/>
      </c:legendEntry>
      <c:layout>
        <c:manualLayout>
          <c:xMode val="edge"/>
          <c:yMode val="edge"/>
          <c:x val="1.7172297794480842E-2"/>
          <c:y val="0.88831786458342299"/>
          <c:w val="0.95392992260749931"/>
          <c:h val="8.9809455083216652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ontserrat" panose="00000500000000000000" pitchFamily="2"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u="none"/>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2213738500332431"/>
          <c:w val="1"/>
          <c:h val="0.75147767001620158"/>
        </c:manualLayout>
      </c:layout>
      <c:barChart>
        <c:barDir val="bar"/>
        <c:grouping val="stacked"/>
        <c:varyColors val="0"/>
        <c:ser>
          <c:idx val="0"/>
          <c:order val="0"/>
          <c:tx>
            <c:strRef>
              <c:f>RANGES!$F$1</c:f>
              <c:strCache>
                <c:ptCount val="1"/>
                <c:pt idx="0">
                  <c:v>EDAD AVANZADA</c:v>
                </c:pt>
              </c:strCache>
            </c:strRef>
          </c:tx>
          <c:spPr>
            <a:gradFill flip="none" rotWithShape="1">
              <a:gsLst>
                <a:gs pos="48000">
                  <a:schemeClr val="accent5"/>
                </a:gs>
                <a:gs pos="100000">
                  <a:srgbClr val="FFFF00"/>
                </a:gs>
              </a:gsLst>
              <a:lin ang="0" scaled="1"/>
              <a:tileRect/>
            </a:gradFill>
            <a:ln>
              <a:solidFill>
                <a:schemeClr val="tx1">
                  <a:lumMod val="25000"/>
                  <a:lumOff val="75000"/>
                </a:schemeClr>
              </a:solidFill>
            </a:ln>
            <a:effectLst/>
          </c:spPr>
          <c:invertIfNegative val="0"/>
          <c:dLbls>
            <c:dLbl>
              <c:idx val="0"/>
              <c:layout>
                <c:manualLayout>
                  <c:x val="1.2345679012345679E-3"/>
                  <c:y val="0.14100021605206026"/>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lt1"/>
                        </a:solidFill>
                        <a:latin typeface="+mn-lt"/>
                        <a:ea typeface="+mn-ea"/>
                        <a:cs typeface="+mn-cs"/>
                      </a:defRPr>
                    </a:pPr>
                    <a:r>
                      <a:rPr lang="en-US" sz="1000" b="1">
                        <a:solidFill>
                          <a:schemeClr val="bg2"/>
                        </a:solidFill>
                        <a:latin typeface="+mj-lt"/>
                      </a:rPr>
                      <a:t>&lt; 9,1</a:t>
                    </a:r>
                  </a:p>
                  <a:p>
                    <a:pPr>
                      <a:defRPr/>
                    </a:pPr>
                    <a:endParaRPr lang="en-US" sz="800" b="1">
                      <a:solidFill>
                        <a:sysClr val="windowText" lastClr="000000"/>
                      </a:solidFill>
                      <a:latin typeface="Montserrat" panose="00000500000000000000" pitchFamily="2" charset="0"/>
                    </a:endParaRPr>
                  </a:p>
                  <a:p>
                    <a:pPr>
                      <a:defRPr/>
                    </a:pPr>
                    <a:endParaRPr lang="en-US" sz="800" b="1">
                      <a:solidFill>
                        <a:sysClr val="windowText" lastClr="000000"/>
                      </a:solidFill>
                      <a:latin typeface="Montserrat" panose="00000500000000000000" pitchFamily="2" charset="0"/>
                    </a:endParaRPr>
                  </a:p>
                  <a:p>
                    <a:pPr>
                      <a:defRPr/>
                    </a:pPr>
                    <a:fld id="{9B33AA12-279A-4967-ADA9-3B8772B7F4E5}" type="SERIESNAME">
                      <a:rPr lang="en-US" sz="800" b="1">
                        <a:solidFill>
                          <a:sysClr val="windowText" lastClr="000000"/>
                        </a:solidFill>
                        <a:latin typeface="Montserrat" panose="00000500000000000000" pitchFamily="2" charset="0"/>
                      </a:rPr>
                      <a:pPr>
                        <a:defRPr/>
                      </a:pPr>
                      <a:t>[SERIES NAME]</a:t>
                    </a:fld>
                    <a:endParaRPr lang="en-NZ"/>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solidFill>
                      <a:latin typeface="+mn-lt"/>
                      <a:ea typeface="+mn-ea"/>
                      <a:cs typeface="+mn-cs"/>
                    </a:defRPr>
                  </a:pPr>
                  <a:endParaRPr lang="en-US"/>
                </a:p>
              </c:txPr>
              <c:dLblPos val="ctr"/>
              <c:showLegendKey val="0"/>
              <c:showVal val="0"/>
              <c:showCatName val="0"/>
              <c:showSerName val="1"/>
              <c:showPercent val="0"/>
              <c:showBubbleSize val="0"/>
              <c:separator>
</c:separator>
              <c:extLst>
                <c:ext xmlns:c15="http://schemas.microsoft.com/office/drawing/2012/chart" uri="{CE6537A1-D6FC-4f65-9D91-7224C49458BB}">
                  <c15:layout>
                    <c:manualLayout>
                      <c:w val="0.10187654320987655"/>
                      <c:h val="0.52280730642757645"/>
                    </c:manualLayout>
                  </c15:layout>
                  <c15:dlblFieldTable/>
                  <c15:showDataLabelsRange val="0"/>
                </c:ext>
                <c:ext xmlns:c16="http://schemas.microsoft.com/office/drawing/2014/chart" uri="{C3380CC4-5D6E-409C-BE32-E72D297353CC}">
                  <c16:uniqueId val="{00000000-192D-42BE-8254-98A13593C5C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errBars>
            <c:errBarType val="both"/>
            <c:errValType val="stdErr"/>
            <c:noEndCap val="0"/>
            <c:spPr>
              <a:noFill/>
              <a:ln w="9525">
                <a:solidFill>
                  <a:schemeClr val="tx1">
                    <a:lumMod val="65000"/>
                    <a:lumOff val="35000"/>
                  </a:schemeClr>
                </a:solidFill>
                <a:round/>
              </a:ln>
              <a:effectLst/>
            </c:spPr>
          </c:errBars>
          <c:cat>
            <c:strRef>
              <c:f>RANGES!$E$2</c:f>
              <c:strCache>
                <c:ptCount val="1"/>
                <c:pt idx="0">
                  <c:v>ranges</c:v>
                </c:pt>
              </c:strCache>
            </c:strRef>
          </c:cat>
          <c:val>
            <c:numRef>
              <c:f>RANGES!$F$2</c:f>
              <c:numCache>
                <c:formatCode>General</c:formatCode>
                <c:ptCount val="1"/>
                <c:pt idx="0">
                  <c:v>0.5</c:v>
                </c:pt>
              </c:numCache>
            </c:numRef>
          </c:val>
          <c:extLst>
            <c:ext xmlns:c16="http://schemas.microsoft.com/office/drawing/2014/chart" uri="{C3380CC4-5D6E-409C-BE32-E72D297353CC}">
              <c16:uniqueId val="{00000001-192D-42BE-8254-98A13593C5C2}"/>
            </c:ext>
          </c:extLst>
        </c:ser>
        <c:ser>
          <c:idx val="1"/>
          <c:order val="1"/>
          <c:tx>
            <c:strRef>
              <c:f>RANGES!$G$1</c:f>
              <c:strCache>
                <c:ptCount val="1"/>
                <c:pt idx="0">
                  <c:v>MAYOR</c:v>
                </c:pt>
              </c:strCache>
            </c:strRef>
          </c:tx>
          <c:spPr>
            <a:gradFill>
              <a:gsLst>
                <a:gs pos="0">
                  <a:srgbClr val="FFFF00"/>
                </a:gs>
                <a:gs pos="59000">
                  <a:srgbClr val="00B050"/>
                </a:gs>
              </a:gsLst>
              <a:lin ang="0" scaled="1"/>
            </a:gradFill>
            <a:ln>
              <a:solidFill>
                <a:schemeClr val="tx1">
                  <a:lumMod val="25000"/>
                  <a:lumOff val="75000"/>
                </a:schemeClr>
              </a:solidFill>
            </a:ln>
            <a:effectLst/>
          </c:spPr>
          <c:invertIfNegative val="0"/>
          <c:dLbls>
            <c:dLbl>
              <c:idx val="0"/>
              <c:layout>
                <c:manualLayout>
                  <c:x val="3.8068045682454147E-3"/>
                  <c:y val="0.13367073396519391"/>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lt1"/>
                        </a:solidFill>
                        <a:latin typeface="+mn-lt"/>
                        <a:ea typeface="+mn-ea"/>
                        <a:cs typeface="+mn-cs"/>
                      </a:defRPr>
                    </a:pPr>
                    <a:r>
                      <a:rPr lang="en-US" sz="1000" b="1"/>
                      <a:t>9,1 - 9,6</a:t>
                    </a:r>
                  </a:p>
                  <a:p>
                    <a:pPr>
                      <a:defRPr/>
                    </a:pPr>
                    <a:endParaRPr lang="en-US" sz="800" b="1">
                      <a:solidFill>
                        <a:sysClr val="windowText" lastClr="000000"/>
                      </a:solidFill>
                      <a:latin typeface="Montserrat" panose="00000500000000000000" pitchFamily="2" charset="0"/>
                    </a:endParaRPr>
                  </a:p>
                  <a:p>
                    <a:pPr>
                      <a:defRPr/>
                    </a:pPr>
                    <a:endParaRPr lang="en-US" sz="800" b="1">
                      <a:solidFill>
                        <a:sysClr val="windowText" lastClr="000000"/>
                      </a:solidFill>
                      <a:latin typeface="Montserrat" panose="00000500000000000000" pitchFamily="2" charset="0"/>
                    </a:endParaRPr>
                  </a:p>
                  <a:p>
                    <a:pPr>
                      <a:defRPr/>
                    </a:pPr>
                    <a:fld id="{13E0745E-0F97-4A69-8EDA-F3653789B7DC}" type="SERIESNAME">
                      <a:rPr lang="en-US" sz="800" b="1">
                        <a:solidFill>
                          <a:sysClr val="windowText" lastClr="000000"/>
                        </a:solidFill>
                        <a:latin typeface="Montserrat" panose="00000500000000000000" pitchFamily="2" charset="0"/>
                      </a:rPr>
                      <a:pPr>
                        <a:defRPr/>
                      </a:pPr>
                      <a:t>[SERIES NAME]</a:t>
                    </a:fld>
                    <a:endParaRPr lang="en-NZ"/>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solidFill>
                      <a:latin typeface="+mn-lt"/>
                      <a:ea typeface="+mn-ea"/>
                      <a:cs typeface="+mn-cs"/>
                    </a:defRPr>
                  </a:pPr>
                  <a:endParaRPr lang="en-US"/>
                </a:p>
              </c:txPr>
              <c:dLblPos val="ctr"/>
              <c:showLegendKey val="0"/>
              <c:showVal val="0"/>
              <c:showCatName val="0"/>
              <c:showSerName val="1"/>
              <c:showPercent val="0"/>
              <c:showBubbleSize val="0"/>
              <c:extLst>
                <c:ext xmlns:c15="http://schemas.microsoft.com/office/drawing/2012/chart" uri="{CE6537A1-D6FC-4f65-9D91-7224C49458BB}">
                  <c15:layout>
                    <c:manualLayout>
                      <c:w val="0.10492822324940446"/>
                      <c:h val="0.52720758119286448"/>
                    </c:manualLayout>
                  </c15:layout>
                  <c15:dlblFieldTable/>
                  <c15:showDataLabelsRange val="0"/>
                </c:ext>
                <c:ext xmlns:c16="http://schemas.microsoft.com/office/drawing/2014/chart" uri="{C3380CC4-5D6E-409C-BE32-E72D297353CC}">
                  <c16:uniqueId val="{00000002-192D-42BE-8254-98A13593C5C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errBars>
            <c:errBarType val="both"/>
            <c:errValType val="stdErr"/>
            <c:noEndCap val="0"/>
            <c:spPr>
              <a:noFill/>
              <a:ln w="9525">
                <a:solidFill>
                  <a:schemeClr val="tx1">
                    <a:lumMod val="65000"/>
                    <a:lumOff val="35000"/>
                  </a:schemeClr>
                </a:solidFill>
                <a:round/>
              </a:ln>
              <a:effectLst/>
            </c:spPr>
          </c:errBars>
          <c:cat>
            <c:strRef>
              <c:f>RANGES!$E$2</c:f>
              <c:strCache>
                <c:ptCount val="1"/>
                <c:pt idx="0">
                  <c:v>ranges</c:v>
                </c:pt>
              </c:strCache>
            </c:strRef>
          </c:cat>
          <c:val>
            <c:numRef>
              <c:f>RANGES!$G$2</c:f>
              <c:numCache>
                <c:formatCode>General</c:formatCode>
                <c:ptCount val="1"/>
                <c:pt idx="0">
                  <c:v>0.5</c:v>
                </c:pt>
              </c:numCache>
            </c:numRef>
          </c:val>
          <c:extLst>
            <c:ext xmlns:c16="http://schemas.microsoft.com/office/drawing/2014/chart" uri="{C3380CC4-5D6E-409C-BE32-E72D297353CC}">
              <c16:uniqueId val="{00000003-192D-42BE-8254-98A13593C5C2}"/>
            </c:ext>
          </c:extLst>
        </c:ser>
        <c:ser>
          <c:idx val="2"/>
          <c:order val="2"/>
          <c:tx>
            <c:strRef>
              <c:f>RANGES!$H$1</c:f>
              <c:strCache>
                <c:ptCount val="1"/>
                <c:pt idx="0">
                  <c:v>ADULTO</c:v>
                </c:pt>
              </c:strCache>
            </c:strRef>
          </c:tx>
          <c:spPr>
            <a:gradFill>
              <a:gsLst>
                <a:gs pos="0">
                  <a:srgbClr val="00B050"/>
                </a:gs>
                <a:gs pos="100000">
                  <a:srgbClr val="002060"/>
                </a:gs>
              </a:gsLst>
              <a:lin ang="0" scaled="1"/>
            </a:gradFill>
            <a:ln>
              <a:solidFill>
                <a:schemeClr val="tx1">
                  <a:lumMod val="25000"/>
                  <a:lumOff val="75000"/>
                </a:schemeClr>
              </a:solidFill>
            </a:ln>
            <a:effectLst/>
          </c:spPr>
          <c:invertIfNegative val="0"/>
          <c:dLbls>
            <c:dLbl>
              <c:idx val="0"/>
              <c:layout>
                <c:manualLayout>
                  <c:x val="0"/>
                  <c:y val="0.13126350670728371"/>
                </c:manualLayout>
              </c:layout>
              <c:tx>
                <c:rich>
                  <a:bodyPr/>
                  <a:lstStyle/>
                  <a:p>
                    <a:r>
                      <a:rPr lang="en-US" sz="1000" b="1"/>
                      <a:t>9,6 - 11,9</a:t>
                    </a:r>
                  </a:p>
                  <a:p>
                    <a:endParaRPr lang="en-US" sz="800" b="1">
                      <a:solidFill>
                        <a:sysClr val="windowText" lastClr="000000"/>
                      </a:solidFill>
                      <a:latin typeface="Montserrat" panose="00000500000000000000" pitchFamily="2" charset="0"/>
                    </a:endParaRPr>
                  </a:p>
                  <a:p>
                    <a:endParaRPr lang="en-US" sz="800" b="1">
                      <a:solidFill>
                        <a:sysClr val="windowText" lastClr="000000"/>
                      </a:solidFill>
                      <a:latin typeface="Montserrat" panose="00000500000000000000" pitchFamily="2" charset="0"/>
                    </a:endParaRPr>
                  </a:p>
                  <a:p>
                    <a:fld id="{70624C79-C5AF-4E2C-9628-9D04B9CE009F}" type="SERIESNAME">
                      <a:rPr lang="en-US" sz="800" b="1">
                        <a:solidFill>
                          <a:sysClr val="windowText" lastClr="000000"/>
                        </a:solidFill>
                        <a:latin typeface="Montserrat" panose="00000500000000000000" pitchFamily="2" charset="0"/>
                      </a:rPr>
                      <a:pPr/>
                      <a:t>[SERIES NAME]</a:t>
                    </a:fld>
                    <a:endParaRPr lang="en-NZ"/>
                  </a:p>
                </c:rich>
              </c:tx>
              <c:dLblPos val="ctr"/>
              <c:showLegendKey val="0"/>
              <c:showVal val="0"/>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192D-42BE-8254-98A13593C5C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errBars>
            <c:errBarType val="both"/>
            <c:errValType val="stdErr"/>
            <c:noEndCap val="0"/>
            <c:spPr>
              <a:noFill/>
              <a:ln w="9525">
                <a:solidFill>
                  <a:schemeClr val="tx1">
                    <a:lumMod val="65000"/>
                    <a:lumOff val="35000"/>
                  </a:schemeClr>
                </a:solidFill>
                <a:round/>
              </a:ln>
              <a:effectLst/>
            </c:spPr>
          </c:errBars>
          <c:cat>
            <c:strRef>
              <c:f>RANGES!$E$2</c:f>
              <c:strCache>
                <c:ptCount val="1"/>
                <c:pt idx="0">
                  <c:v>ranges</c:v>
                </c:pt>
              </c:strCache>
            </c:strRef>
          </c:cat>
          <c:val>
            <c:numRef>
              <c:f>RANGES!$H$2</c:f>
              <c:numCache>
                <c:formatCode>General</c:formatCode>
                <c:ptCount val="1"/>
                <c:pt idx="0">
                  <c:v>2.3000000000000007</c:v>
                </c:pt>
              </c:numCache>
            </c:numRef>
          </c:val>
          <c:extLst>
            <c:ext xmlns:c16="http://schemas.microsoft.com/office/drawing/2014/chart" uri="{C3380CC4-5D6E-409C-BE32-E72D297353CC}">
              <c16:uniqueId val="{00000005-192D-42BE-8254-98A13593C5C2}"/>
            </c:ext>
          </c:extLst>
        </c:ser>
        <c:ser>
          <c:idx val="3"/>
          <c:order val="3"/>
          <c:tx>
            <c:strRef>
              <c:f>RANGES!$I$1</c:f>
              <c:strCache>
                <c:ptCount val="1"/>
                <c:pt idx="0">
                  <c:v>JOVEN</c:v>
                </c:pt>
              </c:strCache>
            </c:strRef>
          </c:tx>
          <c:spPr>
            <a:gradFill>
              <a:gsLst>
                <a:gs pos="0">
                  <a:srgbClr val="002060"/>
                </a:gs>
                <a:gs pos="100000">
                  <a:srgbClr val="7030A0"/>
                </a:gs>
              </a:gsLst>
              <a:lin ang="0" scaled="1"/>
            </a:gradFill>
            <a:ln>
              <a:solidFill>
                <a:schemeClr val="tx1">
                  <a:lumMod val="25000"/>
                  <a:lumOff val="75000"/>
                </a:schemeClr>
              </a:solidFill>
            </a:ln>
            <a:effectLst/>
          </c:spPr>
          <c:invertIfNegative val="0"/>
          <c:dLbls>
            <c:dLbl>
              <c:idx val="0"/>
              <c:layout>
                <c:manualLayout>
                  <c:x val="0"/>
                  <c:y val="0.12631585927109223"/>
                </c:manualLayout>
              </c:layout>
              <c:tx>
                <c:rich>
                  <a:bodyPr/>
                  <a:lstStyle/>
                  <a:p>
                    <a:r>
                      <a:rPr lang="en-US" sz="1000" b="1">
                        <a:solidFill>
                          <a:schemeClr val="bg1"/>
                        </a:solidFill>
                        <a:latin typeface="+mj-lt"/>
                      </a:rPr>
                      <a:t>11,9 - 12,5</a:t>
                    </a:r>
                  </a:p>
                  <a:p>
                    <a:endParaRPr lang="en-US" sz="800" b="1">
                      <a:solidFill>
                        <a:sysClr val="windowText" lastClr="000000"/>
                      </a:solidFill>
                      <a:latin typeface="Montserrat" panose="00000500000000000000" pitchFamily="2" charset="0"/>
                    </a:endParaRPr>
                  </a:p>
                  <a:p>
                    <a:endParaRPr lang="en-US" sz="800" b="1">
                      <a:solidFill>
                        <a:sysClr val="windowText" lastClr="000000"/>
                      </a:solidFill>
                      <a:latin typeface="Montserrat" panose="00000500000000000000" pitchFamily="2" charset="0"/>
                    </a:endParaRPr>
                  </a:p>
                  <a:p>
                    <a:fld id="{50E29527-1613-45CD-BDA3-652A06DD2448}" type="SERIESNAME">
                      <a:rPr lang="en-US" sz="800" b="1">
                        <a:solidFill>
                          <a:sysClr val="windowText" lastClr="000000"/>
                        </a:solidFill>
                        <a:latin typeface="Montserrat" panose="00000500000000000000" pitchFamily="2" charset="0"/>
                      </a:rPr>
                      <a:pPr/>
                      <a:t>[SERIES NAME]</a:t>
                    </a:fld>
                    <a:endParaRPr lang="en-NZ"/>
                  </a:p>
                </c:rich>
              </c:tx>
              <c:dLblPos val="ctr"/>
              <c:showLegendKey val="0"/>
              <c:showVal val="0"/>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192D-42BE-8254-98A13593C5C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errBars>
            <c:errBarType val="both"/>
            <c:errValType val="stdErr"/>
            <c:noEndCap val="0"/>
            <c:spPr>
              <a:noFill/>
              <a:ln w="9525">
                <a:solidFill>
                  <a:schemeClr val="tx1">
                    <a:lumMod val="65000"/>
                    <a:lumOff val="35000"/>
                  </a:schemeClr>
                </a:solidFill>
                <a:round/>
              </a:ln>
              <a:effectLst/>
            </c:spPr>
          </c:errBars>
          <c:cat>
            <c:strRef>
              <c:f>RANGES!$E$2</c:f>
              <c:strCache>
                <c:ptCount val="1"/>
                <c:pt idx="0">
                  <c:v>ranges</c:v>
                </c:pt>
              </c:strCache>
            </c:strRef>
          </c:cat>
          <c:val>
            <c:numRef>
              <c:f>RANGES!$I$2</c:f>
              <c:numCache>
                <c:formatCode>General</c:formatCode>
                <c:ptCount val="1"/>
                <c:pt idx="0">
                  <c:v>0.59999999999999964</c:v>
                </c:pt>
              </c:numCache>
            </c:numRef>
          </c:val>
          <c:extLst>
            <c:ext xmlns:c16="http://schemas.microsoft.com/office/drawing/2014/chart" uri="{C3380CC4-5D6E-409C-BE32-E72D297353CC}">
              <c16:uniqueId val="{00000007-192D-42BE-8254-98A13593C5C2}"/>
            </c:ext>
          </c:extLst>
        </c:ser>
        <c:ser>
          <c:idx val="4"/>
          <c:order val="4"/>
          <c:tx>
            <c:strRef>
              <c:f>RANGES!$J$1</c:f>
              <c:strCache>
                <c:ptCount val="1"/>
                <c:pt idx="0">
                  <c:v>INFANTE</c:v>
                </c:pt>
              </c:strCache>
            </c:strRef>
          </c:tx>
          <c:spPr>
            <a:gradFill>
              <a:gsLst>
                <a:gs pos="0">
                  <a:srgbClr val="7030A0"/>
                </a:gs>
                <a:gs pos="100000">
                  <a:schemeClr val="accent1"/>
                </a:gs>
              </a:gsLst>
              <a:lin ang="0" scaled="1"/>
            </a:gradFill>
            <a:ln>
              <a:noFill/>
            </a:ln>
            <a:effectLst/>
          </c:spPr>
          <c:invertIfNegative val="0"/>
          <c:dPt>
            <c:idx val="0"/>
            <c:invertIfNegative val="0"/>
            <c:bubble3D val="0"/>
            <c:spPr>
              <a:gradFill>
                <a:gsLst>
                  <a:gs pos="0">
                    <a:srgbClr val="7030A0"/>
                  </a:gs>
                  <a:gs pos="100000">
                    <a:schemeClr val="accent1"/>
                  </a:gs>
                </a:gsLst>
                <a:lin ang="0" scaled="1"/>
              </a:gradFill>
              <a:ln>
                <a:solidFill>
                  <a:schemeClr val="tx1">
                    <a:lumMod val="25000"/>
                    <a:lumOff val="75000"/>
                  </a:schemeClr>
                </a:solidFill>
              </a:ln>
              <a:effectLst/>
            </c:spPr>
            <c:extLst>
              <c:ext xmlns:c16="http://schemas.microsoft.com/office/drawing/2014/chart" uri="{C3380CC4-5D6E-409C-BE32-E72D297353CC}">
                <c16:uniqueId val="{00000009-192D-42BE-8254-98A13593C5C2}"/>
              </c:ext>
            </c:extLst>
          </c:dPt>
          <c:dLbls>
            <c:dLbl>
              <c:idx val="0"/>
              <c:layout>
                <c:manualLayout>
                  <c:x val="0"/>
                  <c:y val="0.13112502311329477"/>
                </c:manualLayout>
              </c:layout>
              <c:tx>
                <c:rich>
                  <a:bodyPr/>
                  <a:lstStyle/>
                  <a:p>
                    <a:r>
                      <a:rPr lang="en-US" sz="1000" b="1">
                        <a:solidFill>
                          <a:schemeClr val="bg1"/>
                        </a:solidFill>
                        <a:latin typeface="+mj-lt"/>
                      </a:rPr>
                      <a:t>&gt; 12,5</a:t>
                    </a:r>
                  </a:p>
                  <a:p>
                    <a:endParaRPr lang="en-US" sz="800" b="1">
                      <a:solidFill>
                        <a:sysClr val="windowText" lastClr="000000"/>
                      </a:solidFill>
                      <a:latin typeface="Montserrat" panose="00000500000000000000" pitchFamily="2" charset="0"/>
                    </a:endParaRPr>
                  </a:p>
                  <a:p>
                    <a:endParaRPr lang="en-US" sz="800" b="1">
                      <a:solidFill>
                        <a:sysClr val="windowText" lastClr="000000"/>
                      </a:solidFill>
                      <a:latin typeface="Montserrat" panose="00000500000000000000" pitchFamily="2" charset="0"/>
                    </a:endParaRPr>
                  </a:p>
                  <a:p>
                    <a:fld id="{5035068E-0E7F-4BB9-8B33-F823EB653990}" type="SERIESNAME">
                      <a:rPr lang="en-US" sz="800" b="1">
                        <a:solidFill>
                          <a:sysClr val="windowText" lastClr="000000"/>
                        </a:solidFill>
                        <a:latin typeface="Montserrat" panose="00000500000000000000" pitchFamily="2" charset="0"/>
                      </a:rPr>
                      <a:pPr/>
                      <a:t>[SERIES NAME]</a:t>
                    </a:fld>
                    <a:endParaRPr lang="en-NZ"/>
                  </a:p>
                </c:rich>
              </c:tx>
              <c:dLblPos val="ctr"/>
              <c:showLegendKey val="0"/>
              <c:showVal val="0"/>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192D-42BE-8254-98A13593C5C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errBars>
            <c:errBarType val="both"/>
            <c:errValType val="stdErr"/>
            <c:noEndCap val="0"/>
            <c:spPr>
              <a:noFill/>
              <a:ln w="9525">
                <a:solidFill>
                  <a:schemeClr val="tx1">
                    <a:lumMod val="65000"/>
                    <a:lumOff val="35000"/>
                  </a:schemeClr>
                </a:solidFill>
                <a:round/>
              </a:ln>
              <a:effectLst/>
            </c:spPr>
          </c:errBars>
          <c:cat>
            <c:strRef>
              <c:f>RANGES!$E$2</c:f>
              <c:strCache>
                <c:ptCount val="1"/>
                <c:pt idx="0">
                  <c:v>ranges</c:v>
                </c:pt>
              </c:strCache>
            </c:strRef>
          </c:cat>
          <c:val>
            <c:numRef>
              <c:f>RANGES!$J$2</c:f>
              <c:numCache>
                <c:formatCode>General</c:formatCode>
                <c:ptCount val="1"/>
                <c:pt idx="0">
                  <c:v>0.5</c:v>
                </c:pt>
              </c:numCache>
            </c:numRef>
          </c:val>
          <c:extLst>
            <c:ext xmlns:c16="http://schemas.microsoft.com/office/drawing/2014/chart" uri="{C3380CC4-5D6E-409C-BE32-E72D297353CC}">
              <c16:uniqueId val="{0000000A-192D-42BE-8254-98A13593C5C2}"/>
            </c:ext>
          </c:extLst>
        </c:ser>
        <c:dLbls>
          <c:showLegendKey val="0"/>
          <c:showVal val="0"/>
          <c:showCatName val="0"/>
          <c:showSerName val="0"/>
          <c:showPercent val="0"/>
          <c:showBubbleSize val="0"/>
        </c:dLbls>
        <c:gapWidth val="79"/>
        <c:overlap val="100"/>
        <c:axId val="1416090799"/>
        <c:axId val="1415840623"/>
      </c:barChart>
      <c:scatterChart>
        <c:scatterStyle val="lineMarker"/>
        <c:varyColors val="0"/>
        <c:ser>
          <c:idx val="5"/>
          <c:order val="5"/>
          <c:tx>
            <c:strRef>
              <c:f>RANGES!$K$1</c:f>
              <c:strCache>
                <c:ptCount val="1"/>
                <c:pt idx="0">
                  <c:v>Media: 11.4 Kb</c:v>
                </c:pt>
              </c:strCache>
            </c:strRef>
          </c:tx>
          <c:spPr>
            <a:ln w="25400" cap="rnd">
              <a:noFill/>
              <a:round/>
            </a:ln>
            <a:effectLst/>
          </c:spPr>
          <c:marker>
            <c:symbol val="square"/>
            <c:size val="6"/>
            <c:spPr>
              <a:noFill/>
              <a:ln w="9525">
                <a:noFill/>
                <a:round/>
              </a:ln>
              <a:effectLst/>
            </c:spPr>
          </c:marker>
          <c:dLbls>
            <c:dLbl>
              <c:idx val="0"/>
              <c:layout>
                <c:manualLayout>
                  <c:x val="-1.2472830306240941E-2"/>
                  <c:y val="-4.1078448527267442E-2"/>
                </c:manualLayout>
              </c:layout>
              <c:tx>
                <c:rich>
                  <a:bodyPr/>
                  <a:lstStyle/>
                  <a:p>
                    <a:fld id="{06E6E8ED-7860-47FC-9591-6DCCE270C815}" type="SERIESNAME">
                      <a:rPr lang="en-US" b="1">
                        <a:solidFill>
                          <a:schemeClr val="bg1"/>
                        </a:solidFill>
                      </a:rPr>
                      <a:pPr/>
                      <a:t>[SERIES NAME]</a:t>
                    </a:fld>
                    <a:endParaRPr lang="en-NZ"/>
                  </a:p>
                </c:rich>
              </c:tx>
              <c:dLblPos val="r"/>
              <c:showLegendKey val="0"/>
              <c:showVal val="0"/>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192D-42BE-8254-98A13593C5C2}"/>
                </c:ext>
              </c:extLst>
            </c:dLbl>
            <c:spPr>
              <a:solidFill>
                <a:schemeClr val="tx2">
                  <a:lumMod val="85000"/>
                  <a:lumOff val="15000"/>
                </a:schemeClr>
              </a:solidFill>
              <a:ln>
                <a:noFill/>
              </a:ln>
              <a:effectLst>
                <a:outerShdw blurRad="50800" dist="38100" dir="5400000" algn="t" rotWithShape="0">
                  <a:prstClr val="black">
                    <a:alpha val="40000"/>
                  </a:prstClr>
                </a:outerShdw>
              </a:effectLst>
            </c:spPr>
            <c:txPr>
              <a:bodyPr rot="0" spcFirstLastPara="1" vertOverflow="clip" horzOverflow="clip" vert="horz" wrap="square" lIns="108000" tIns="54000" rIns="108000" bIns="5400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minus"/>
            <c:errValType val="fixedVal"/>
            <c:noEndCap val="1"/>
            <c:val val="1.5"/>
            <c:spPr>
              <a:noFill/>
              <a:ln w="41275">
                <a:solidFill>
                  <a:schemeClr val="tx2">
                    <a:lumMod val="85000"/>
                    <a:lumOff val="15000"/>
                  </a:schemeClr>
                </a:solidFill>
                <a:round/>
              </a:ln>
              <a:effectLst>
                <a:outerShdw blurRad="50800" dist="38100" dir="5400000" algn="t" rotWithShape="0">
                  <a:prstClr val="black">
                    <a:alpha val="40000"/>
                  </a:prstClr>
                </a:outerShdw>
              </a:effectLst>
            </c:spPr>
          </c:errBars>
          <c:xVal>
            <c:numRef>
              <c:f>RANGES!$K$2</c:f>
              <c:numCache>
                <c:formatCode>General</c:formatCode>
                <c:ptCount val="1"/>
                <c:pt idx="0">
                  <c:v>2.7961652496247797</c:v>
                </c:pt>
              </c:numCache>
            </c:numRef>
          </c:xVal>
          <c:yVal>
            <c:numRef>
              <c:f>RANGES!$C$1</c:f>
              <c:numCache>
                <c:formatCode>General</c:formatCode>
                <c:ptCount val="1"/>
                <c:pt idx="0">
                  <c:v>2</c:v>
                </c:pt>
              </c:numCache>
            </c:numRef>
          </c:yVal>
          <c:smooth val="0"/>
          <c:extLst>
            <c:ext xmlns:c16="http://schemas.microsoft.com/office/drawing/2014/chart" uri="{C3380CC4-5D6E-409C-BE32-E72D297353CC}">
              <c16:uniqueId val="{0000000C-192D-42BE-8254-98A13593C5C2}"/>
            </c:ext>
          </c:extLst>
        </c:ser>
        <c:dLbls>
          <c:showLegendKey val="0"/>
          <c:showVal val="0"/>
          <c:showCatName val="0"/>
          <c:showSerName val="0"/>
          <c:showPercent val="0"/>
          <c:showBubbleSize val="0"/>
        </c:dLbls>
        <c:axId val="1426779519"/>
        <c:axId val="1579289663"/>
      </c:scatterChart>
      <c:valAx>
        <c:axId val="1579289663"/>
        <c:scaling>
          <c:orientation val="minMax"/>
        </c:scaling>
        <c:delete val="1"/>
        <c:axPos val="r"/>
        <c:numFmt formatCode="General" sourceLinked="1"/>
        <c:majorTickMark val="out"/>
        <c:minorTickMark val="none"/>
        <c:tickLblPos val="nextTo"/>
        <c:crossAx val="1426779519"/>
        <c:crosses val="max"/>
        <c:crossBetween val="midCat"/>
      </c:valAx>
      <c:valAx>
        <c:axId val="1426779519"/>
        <c:scaling>
          <c:orientation val="minMax"/>
          <c:max val="4.4000000000000004"/>
          <c:min val="0"/>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cap="all" spc="120" normalizeH="0" baseline="0">
                <a:solidFill>
                  <a:schemeClr val="bg1"/>
                </a:solidFill>
                <a:latin typeface="+mn-lt"/>
                <a:ea typeface="+mn-ea"/>
                <a:cs typeface="+mn-cs"/>
              </a:defRPr>
            </a:pPr>
            <a:endParaRPr lang="en-US"/>
          </a:p>
        </c:txPr>
        <c:crossAx val="1579289663"/>
        <c:crosses val="autoZero"/>
        <c:crossBetween val="midCat"/>
      </c:valAx>
      <c:valAx>
        <c:axId val="1415840623"/>
        <c:scaling>
          <c:orientation val="minMax"/>
          <c:max val="4.4000000000000004"/>
          <c:min val="0"/>
        </c:scaling>
        <c:delete val="1"/>
        <c:axPos val="t"/>
        <c:numFmt formatCode="General" sourceLinked="1"/>
        <c:majorTickMark val="out"/>
        <c:minorTickMark val="none"/>
        <c:tickLblPos val="nextTo"/>
        <c:crossAx val="1416090799"/>
        <c:crosses val="max"/>
        <c:crossBetween val="between"/>
      </c:valAx>
      <c:catAx>
        <c:axId val="1416090799"/>
        <c:scaling>
          <c:orientation val="minMax"/>
        </c:scaling>
        <c:delete val="1"/>
        <c:axPos val="l"/>
        <c:numFmt formatCode="General" sourceLinked="1"/>
        <c:majorTickMark val="out"/>
        <c:minorTickMark val="none"/>
        <c:tickLblPos val="nextTo"/>
        <c:crossAx val="1415840623"/>
        <c:crosses val="autoZero"/>
        <c:auto val="1"/>
        <c:lblAlgn val="ctr"/>
        <c:lblOffset val="100"/>
        <c:noMultiLvlLbl val="0"/>
      </c:catAx>
      <c:spPr>
        <a:noFill/>
        <a:ln w="25400">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latin typeface="Montserrat" panose="00000500000000000000" pitchFamily="2" charset="0"/>
              </a:rPr>
              <a:t>Percentiles de Media de Longitud Telomérica</a:t>
            </a:r>
          </a:p>
          <a:p>
            <a:pPr>
              <a:defRPr/>
            </a:pPr>
            <a:r>
              <a:rPr lang="en-US" sz="1800">
                <a:latin typeface="Montserrat" panose="00000500000000000000" pitchFamily="2" charset="0"/>
              </a:rPr>
              <a:t>MLT (Kb)</a:t>
            </a:r>
          </a:p>
        </c:rich>
      </c:tx>
      <c:layout>
        <c:manualLayout>
          <c:xMode val="edge"/>
          <c:yMode val="edge"/>
          <c:x val="0.25260895341746614"/>
          <c:y val="3.787576809772664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286818314377372"/>
          <c:y val="0.15699470899470899"/>
          <c:w val="0.65987897346165059"/>
          <c:h val="0.65505478481856438"/>
        </c:manualLayout>
      </c:layout>
      <c:scatterChart>
        <c:scatterStyle val="lineMarker"/>
        <c:varyColors val="0"/>
        <c:ser>
          <c:idx val="1"/>
          <c:order val="0"/>
          <c:tx>
            <c:strRef>
              <c:f>RANGES!$H$7</c:f>
              <c:strCache>
                <c:ptCount val="1"/>
                <c:pt idx="0">
                  <c:v>es abundante</c:v>
                </c:pt>
              </c:strCache>
            </c:strRef>
          </c:tx>
          <c:spPr>
            <a:ln w="25400" cap="rnd">
              <a:noFill/>
              <a:round/>
            </a:ln>
            <a:effectLst/>
          </c:spPr>
          <c:marker>
            <c:symbol val="circle"/>
            <c:size val="5"/>
            <c:spPr>
              <a:solidFill>
                <a:srgbClr val="0070C0"/>
              </a:solidFill>
              <a:ln w="9525">
                <a:solidFill>
                  <a:schemeClr val="dk1">
                    <a:tint val="55000"/>
                  </a:schemeClr>
                </a:solidFill>
              </a:ln>
              <a:effectLst/>
            </c:spPr>
          </c:marker>
          <c:trendline>
            <c:spPr>
              <a:ln w="19050" cap="rnd">
                <a:solidFill>
                  <a:schemeClr val="dk1">
                    <a:tint val="55000"/>
                  </a:schemeClr>
                </a:solidFill>
                <a:prstDash val="sysDot"/>
              </a:ln>
              <a:effectLst/>
            </c:spPr>
            <c:trendlineType val="poly"/>
            <c:order val="2"/>
            <c:dispRSqr val="1"/>
            <c:dispEq val="1"/>
            <c:trendlineLbl>
              <c:layout>
                <c:manualLayout>
                  <c:x val="-0.36203207125026865"/>
                  <c:y val="-0.380198065062898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RANGES!$A$8:$A$15</c:f>
              <c:numCache>
                <c:formatCode>General</c:formatCode>
                <c:ptCount val="8"/>
                <c:pt idx="0">
                  <c:v>15</c:v>
                </c:pt>
                <c:pt idx="1">
                  <c:v>25</c:v>
                </c:pt>
                <c:pt idx="2">
                  <c:v>35</c:v>
                </c:pt>
                <c:pt idx="3">
                  <c:v>45</c:v>
                </c:pt>
                <c:pt idx="4">
                  <c:v>55</c:v>
                </c:pt>
                <c:pt idx="5">
                  <c:v>65</c:v>
                </c:pt>
                <c:pt idx="6">
                  <c:v>75</c:v>
                </c:pt>
                <c:pt idx="7">
                  <c:v>85</c:v>
                </c:pt>
              </c:numCache>
            </c:numRef>
          </c:xVal>
          <c:yVal>
            <c:numRef>
              <c:f>RANGES!$H$8:$H$15</c:f>
              <c:numCache>
                <c:formatCode>General</c:formatCode>
                <c:ptCount val="8"/>
                <c:pt idx="0">
                  <c:v>17</c:v>
                </c:pt>
                <c:pt idx="1">
                  <c:v>15.8</c:v>
                </c:pt>
                <c:pt idx="2">
                  <c:v>15</c:v>
                </c:pt>
                <c:pt idx="3">
                  <c:v>14.2</c:v>
                </c:pt>
                <c:pt idx="4">
                  <c:v>13.2</c:v>
                </c:pt>
                <c:pt idx="5">
                  <c:v>12.2</c:v>
                </c:pt>
                <c:pt idx="6">
                  <c:v>10.8</c:v>
                </c:pt>
                <c:pt idx="7">
                  <c:v>9.1</c:v>
                </c:pt>
              </c:numCache>
            </c:numRef>
          </c:yVal>
          <c:smooth val="0"/>
          <c:extLst>
            <c:ext xmlns:c16="http://schemas.microsoft.com/office/drawing/2014/chart" uri="{C3380CC4-5D6E-409C-BE32-E72D297353CC}">
              <c16:uniqueId val="{00000016-56D3-4D99-BC86-C25A7F845B4E}"/>
            </c:ext>
          </c:extLst>
        </c:ser>
        <c:ser>
          <c:idx val="8"/>
          <c:order val="1"/>
          <c:tx>
            <c:strRef>
              <c:f>RANGES!$G$7</c:f>
              <c:strCache>
                <c:ptCount val="1"/>
                <c:pt idx="0">
                  <c:v>es larga</c:v>
                </c:pt>
              </c:strCache>
            </c:strRef>
          </c:tx>
          <c:spPr>
            <a:ln w="25400" cap="rnd">
              <a:noFill/>
              <a:round/>
            </a:ln>
            <a:effectLst/>
          </c:spPr>
          <c:marker>
            <c:symbol val="circle"/>
            <c:size val="5"/>
            <c:spPr>
              <a:solidFill>
                <a:srgbClr val="00B050"/>
              </a:solidFill>
              <a:ln w="9525">
                <a:solidFill>
                  <a:schemeClr val="dk1">
                    <a:tint val="55000"/>
                  </a:schemeClr>
                </a:solidFill>
              </a:ln>
              <a:effectLst/>
            </c:spPr>
          </c:marker>
          <c:trendline>
            <c:spPr>
              <a:ln w="19050" cap="rnd">
                <a:solidFill>
                  <a:schemeClr val="dk1">
                    <a:tint val="55000"/>
                  </a:schemeClr>
                </a:solidFill>
                <a:prstDash val="sysDot"/>
              </a:ln>
              <a:effectLst/>
            </c:spPr>
            <c:trendlineType val="poly"/>
            <c:order val="3"/>
            <c:dispRSqr val="1"/>
            <c:dispEq val="1"/>
            <c:trendlineLbl>
              <c:layout>
                <c:manualLayout>
                  <c:x val="-5.1625122306425422E-2"/>
                  <c:y val="-0.3273879604013288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RANGES!$A$8:$A$15</c:f>
              <c:numCache>
                <c:formatCode>General</c:formatCode>
                <c:ptCount val="8"/>
                <c:pt idx="0">
                  <c:v>15</c:v>
                </c:pt>
                <c:pt idx="1">
                  <c:v>25</c:v>
                </c:pt>
                <c:pt idx="2">
                  <c:v>35</c:v>
                </c:pt>
                <c:pt idx="3">
                  <c:v>45</c:v>
                </c:pt>
                <c:pt idx="4">
                  <c:v>55</c:v>
                </c:pt>
                <c:pt idx="5">
                  <c:v>65</c:v>
                </c:pt>
                <c:pt idx="6">
                  <c:v>75</c:v>
                </c:pt>
                <c:pt idx="7">
                  <c:v>85</c:v>
                </c:pt>
              </c:numCache>
            </c:numRef>
          </c:xVal>
          <c:yVal>
            <c:numRef>
              <c:f>RANGES!$G$8:$G$15</c:f>
              <c:numCache>
                <c:formatCode>General</c:formatCode>
                <c:ptCount val="8"/>
                <c:pt idx="0">
                  <c:v>16.399999999999999</c:v>
                </c:pt>
                <c:pt idx="1">
                  <c:v>15.1</c:v>
                </c:pt>
                <c:pt idx="2">
                  <c:v>14.2</c:v>
                </c:pt>
                <c:pt idx="3">
                  <c:v>13.5</c:v>
                </c:pt>
                <c:pt idx="4">
                  <c:v>12.7</c:v>
                </c:pt>
                <c:pt idx="5">
                  <c:v>11.8</c:v>
                </c:pt>
                <c:pt idx="6">
                  <c:v>10.3</c:v>
                </c:pt>
                <c:pt idx="7">
                  <c:v>8.3000000000000007</c:v>
                </c:pt>
              </c:numCache>
            </c:numRef>
          </c:yVal>
          <c:smooth val="0"/>
          <c:extLst>
            <c:ext xmlns:c16="http://schemas.microsoft.com/office/drawing/2014/chart" uri="{C3380CC4-5D6E-409C-BE32-E72D297353CC}">
              <c16:uniqueId val="{0000000D-56D3-4D99-BC86-C25A7F845B4E}"/>
            </c:ext>
          </c:extLst>
        </c:ser>
        <c:ser>
          <c:idx val="7"/>
          <c:order val="2"/>
          <c:tx>
            <c:strRef>
              <c:f>RANGES!$F$7</c:f>
              <c:strCache>
                <c:ptCount val="1"/>
                <c:pt idx="0">
                  <c:v>normal superior</c:v>
                </c:pt>
              </c:strCache>
            </c:strRef>
          </c:tx>
          <c:spPr>
            <a:ln w="25400" cap="rnd">
              <a:noFill/>
              <a:round/>
            </a:ln>
            <a:effectLst/>
          </c:spPr>
          <c:marker>
            <c:symbol val="circle"/>
            <c:size val="5"/>
            <c:spPr>
              <a:solidFill>
                <a:srgbClr val="92D050"/>
              </a:solidFill>
              <a:ln w="9525">
                <a:solidFill>
                  <a:schemeClr val="dk1">
                    <a:tint val="88500"/>
                  </a:schemeClr>
                </a:solidFill>
              </a:ln>
              <a:effectLst/>
            </c:spPr>
          </c:marker>
          <c:trendline>
            <c:spPr>
              <a:ln w="19050" cap="rnd">
                <a:solidFill>
                  <a:schemeClr val="dk1">
                    <a:tint val="88500"/>
                  </a:schemeClr>
                </a:solidFill>
                <a:prstDash val="sysDot"/>
              </a:ln>
              <a:effectLst/>
            </c:spPr>
            <c:trendlineType val="poly"/>
            <c:order val="3"/>
            <c:dispRSqr val="1"/>
            <c:dispEq val="1"/>
            <c:trendlineLbl>
              <c:layout>
                <c:manualLayout>
                  <c:x val="8.189813018291825E-2"/>
                  <c:y val="-0.2768653248103000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RANGES!$A$8:$A$15</c:f>
              <c:numCache>
                <c:formatCode>General</c:formatCode>
                <c:ptCount val="8"/>
                <c:pt idx="0">
                  <c:v>15</c:v>
                </c:pt>
                <c:pt idx="1">
                  <c:v>25</c:v>
                </c:pt>
                <c:pt idx="2">
                  <c:v>35</c:v>
                </c:pt>
                <c:pt idx="3">
                  <c:v>45</c:v>
                </c:pt>
                <c:pt idx="4">
                  <c:v>55</c:v>
                </c:pt>
                <c:pt idx="5">
                  <c:v>65</c:v>
                </c:pt>
                <c:pt idx="6">
                  <c:v>75</c:v>
                </c:pt>
                <c:pt idx="7">
                  <c:v>85</c:v>
                </c:pt>
              </c:numCache>
            </c:numRef>
          </c:xVal>
          <c:yVal>
            <c:numRef>
              <c:f>RANGES!$F$8:$F$15</c:f>
              <c:numCache>
                <c:formatCode>General</c:formatCode>
                <c:ptCount val="8"/>
                <c:pt idx="0">
                  <c:v>14.4</c:v>
                </c:pt>
                <c:pt idx="1">
                  <c:v>13.8</c:v>
                </c:pt>
                <c:pt idx="2">
                  <c:v>13.2</c:v>
                </c:pt>
                <c:pt idx="3">
                  <c:v>12.5</c:v>
                </c:pt>
                <c:pt idx="4">
                  <c:v>11.7</c:v>
                </c:pt>
                <c:pt idx="5">
                  <c:v>10.7</c:v>
                </c:pt>
                <c:pt idx="6">
                  <c:v>9.3000000000000007</c:v>
                </c:pt>
                <c:pt idx="7">
                  <c:v>7.5</c:v>
                </c:pt>
              </c:numCache>
            </c:numRef>
          </c:yVal>
          <c:smooth val="0"/>
          <c:extLst>
            <c:ext xmlns:c16="http://schemas.microsoft.com/office/drawing/2014/chart" uri="{C3380CC4-5D6E-409C-BE32-E72D297353CC}">
              <c16:uniqueId val="{0000000B-56D3-4D99-BC86-C25A7F845B4E}"/>
            </c:ext>
          </c:extLst>
        </c:ser>
        <c:ser>
          <c:idx val="2"/>
          <c:order val="3"/>
          <c:tx>
            <c:strRef>
              <c:f>RANGES!$E$7</c:f>
              <c:strCache>
                <c:ptCount val="1"/>
                <c:pt idx="0">
                  <c:v>normal inferior</c:v>
                </c:pt>
              </c:strCache>
            </c:strRef>
          </c:tx>
          <c:spPr>
            <a:ln w="25400" cap="rnd">
              <a:noFill/>
              <a:round/>
            </a:ln>
            <a:effectLst/>
          </c:spPr>
          <c:marker>
            <c:symbol val="circle"/>
            <c:size val="5"/>
            <c:spPr>
              <a:solidFill>
                <a:srgbClr val="FFFF00"/>
              </a:solidFill>
              <a:ln w="9525">
                <a:solidFill>
                  <a:schemeClr val="dk1">
                    <a:tint val="75000"/>
                  </a:schemeClr>
                </a:solidFill>
              </a:ln>
              <a:effectLst/>
            </c:spPr>
          </c:marker>
          <c:xVal>
            <c:numRef>
              <c:f>RANGES!$A$8:$A$15</c:f>
              <c:numCache>
                <c:formatCode>General</c:formatCode>
                <c:ptCount val="8"/>
                <c:pt idx="0">
                  <c:v>15</c:v>
                </c:pt>
                <c:pt idx="1">
                  <c:v>25</c:v>
                </c:pt>
                <c:pt idx="2">
                  <c:v>35</c:v>
                </c:pt>
                <c:pt idx="3">
                  <c:v>45</c:v>
                </c:pt>
                <c:pt idx="4">
                  <c:v>55</c:v>
                </c:pt>
                <c:pt idx="5">
                  <c:v>65</c:v>
                </c:pt>
                <c:pt idx="6">
                  <c:v>75</c:v>
                </c:pt>
                <c:pt idx="7">
                  <c:v>85</c:v>
                </c:pt>
              </c:numCache>
            </c:numRef>
          </c:xVal>
          <c:yVal>
            <c:numRef>
              <c:f>RANGES!$E$8:$E$15</c:f>
              <c:numCache>
                <c:formatCode>General</c:formatCode>
                <c:ptCount val="8"/>
                <c:pt idx="0">
                  <c:v>12.9</c:v>
                </c:pt>
                <c:pt idx="1">
                  <c:v>12.6</c:v>
                </c:pt>
                <c:pt idx="2">
                  <c:v>12</c:v>
                </c:pt>
                <c:pt idx="3">
                  <c:v>11.3</c:v>
                </c:pt>
                <c:pt idx="4">
                  <c:v>10.4</c:v>
                </c:pt>
                <c:pt idx="5">
                  <c:v>9.1999999999999993</c:v>
                </c:pt>
                <c:pt idx="6">
                  <c:v>7.8</c:v>
                </c:pt>
                <c:pt idx="7">
                  <c:v>6.2</c:v>
                </c:pt>
              </c:numCache>
            </c:numRef>
          </c:yVal>
          <c:smooth val="0"/>
          <c:extLst>
            <c:ext xmlns:c16="http://schemas.microsoft.com/office/drawing/2014/chart" uri="{C3380CC4-5D6E-409C-BE32-E72D297353CC}">
              <c16:uniqueId val="{00000018-56D3-4D99-BC86-C25A7F845B4E}"/>
            </c:ext>
          </c:extLst>
        </c:ser>
        <c:ser>
          <c:idx val="6"/>
          <c:order val="4"/>
          <c:tx>
            <c:strRef>
              <c:f>RANGES!$D$7</c:f>
              <c:strCache>
                <c:ptCount val="1"/>
                <c:pt idx="0">
                  <c:v>está reducida</c:v>
                </c:pt>
              </c:strCache>
            </c:strRef>
          </c:tx>
          <c:spPr>
            <a:ln w="25400" cap="rnd">
              <a:noFill/>
              <a:round/>
            </a:ln>
            <a:effectLst/>
          </c:spPr>
          <c:marker>
            <c:symbol val="circle"/>
            <c:size val="5"/>
            <c:spPr>
              <a:solidFill>
                <a:srgbClr val="FFC000"/>
              </a:solidFill>
              <a:ln w="9525">
                <a:solidFill>
                  <a:schemeClr val="dk1">
                    <a:tint val="80000"/>
                  </a:schemeClr>
                </a:solidFill>
              </a:ln>
              <a:effectLst/>
            </c:spPr>
          </c:marker>
          <c:trendline>
            <c:spPr>
              <a:ln w="19050" cap="rnd">
                <a:solidFill>
                  <a:schemeClr val="dk1">
                    <a:tint val="80000"/>
                  </a:schemeClr>
                </a:solidFill>
                <a:prstDash val="sysDot"/>
              </a:ln>
              <a:effectLst/>
            </c:spPr>
            <c:trendlineType val="poly"/>
            <c:order val="2"/>
            <c:dispRSqr val="1"/>
            <c:dispEq val="1"/>
            <c:trendlineLbl>
              <c:layout>
                <c:manualLayout>
                  <c:x val="-0.37607802378486194"/>
                  <c:y val="-4.97002402649233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RANGES!$A$8:$A$15</c:f>
              <c:numCache>
                <c:formatCode>General</c:formatCode>
                <c:ptCount val="8"/>
                <c:pt idx="0">
                  <c:v>15</c:v>
                </c:pt>
                <c:pt idx="1">
                  <c:v>25</c:v>
                </c:pt>
                <c:pt idx="2">
                  <c:v>35</c:v>
                </c:pt>
                <c:pt idx="3">
                  <c:v>45</c:v>
                </c:pt>
                <c:pt idx="4">
                  <c:v>55</c:v>
                </c:pt>
                <c:pt idx="5">
                  <c:v>65</c:v>
                </c:pt>
                <c:pt idx="6">
                  <c:v>75</c:v>
                </c:pt>
                <c:pt idx="7">
                  <c:v>85</c:v>
                </c:pt>
              </c:numCache>
            </c:numRef>
          </c:xVal>
          <c:yVal>
            <c:numRef>
              <c:f>RANGES!$D$8:$D$15</c:f>
              <c:numCache>
                <c:formatCode>General</c:formatCode>
                <c:ptCount val="8"/>
                <c:pt idx="0">
                  <c:v>11.7</c:v>
                </c:pt>
                <c:pt idx="1">
                  <c:v>11.4</c:v>
                </c:pt>
                <c:pt idx="2">
                  <c:v>10.6</c:v>
                </c:pt>
                <c:pt idx="3">
                  <c:v>9.6999999999999993</c:v>
                </c:pt>
                <c:pt idx="4">
                  <c:v>8.6999999999999993</c:v>
                </c:pt>
                <c:pt idx="5">
                  <c:v>7.6</c:v>
                </c:pt>
                <c:pt idx="6">
                  <c:v>6.6</c:v>
                </c:pt>
                <c:pt idx="7">
                  <c:v>5.5</c:v>
                </c:pt>
              </c:numCache>
            </c:numRef>
          </c:yVal>
          <c:smooth val="0"/>
          <c:extLst>
            <c:ext xmlns:c16="http://schemas.microsoft.com/office/drawing/2014/chart" uri="{C3380CC4-5D6E-409C-BE32-E72D297353CC}">
              <c16:uniqueId val="{0000000A-56D3-4D99-BC86-C25A7F845B4E}"/>
            </c:ext>
          </c:extLst>
        </c:ser>
        <c:ser>
          <c:idx val="5"/>
          <c:order val="5"/>
          <c:tx>
            <c:strRef>
              <c:f>RANGES!$C$7</c:f>
              <c:strCache>
                <c:ptCount val="1"/>
                <c:pt idx="0">
                  <c:v>está limitada</c:v>
                </c:pt>
              </c:strCache>
            </c:strRef>
          </c:tx>
          <c:spPr>
            <a:ln w="25400" cap="rnd">
              <a:noFill/>
              <a:round/>
            </a:ln>
            <a:effectLst/>
          </c:spPr>
          <c:marker>
            <c:symbol val="circle"/>
            <c:size val="5"/>
            <c:spPr>
              <a:solidFill>
                <a:srgbClr val="FF0000"/>
              </a:solidFill>
              <a:ln w="9525">
                <a:solidFill>
                  <a:schemeClr val="dk1">
                    <a:tint val="60000"/>
                  </a:schemeClr>
                </a:solidFill>
              </a:ln>
              <a:effectLst/>
            </c:spPr>
          </c:marker>
          <c:trendline>
            <c:spPr>
              <a:ln w="19050" cap="rnd">
                <a:solidFill>
                  <a:schemeClr val="dk1">
                    <a:tint val="60000"/>
                  </a:schemeClr>
                </a:solidFill>
                <a:prstDash val="sysDot"/>
              </a:ln>
              <a:effectLst/>
            </c:spPr>
            <c:trendlineType val="poly"/>
            <c:order val="2"/>
            <c:dispRSqr val="1"/>
            <c:dispEq val="1"/>
            <c:trendlineLbl>
              <c:layout>
                <c:manualLayout>
                  <c:x val="-0.37606928517338906"/>
                  <c:y val="1.838468112797681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RANGES!$A$8:$A$15</c:f>
              <c:numCache>
                <c:formatCode>General</c:formatCode>
                <c:ptCount val="8"/>
                <c:pt idx="0">
                  <c:v>15</c:v>
                </c:pt>
                <c:pt idx="1">
                  <c:v>25</c:v>
                </c:pt>
                <c:pt idx="2">
                  <c:v>35</c:v>
                </c:pt>
                <c:pt idx="3">
                  <c:v>45</c:v>
                </c:pt>
                <c:pt idx="4">
                  <c:v>55</c:v>
                </c:pt>
                <c:pt idx="5">
                  <c:v>65</c:v>
                </c:pt>
                <c:pt idx="6">
                  <c:v>75</c:v>
                </c:pt>
                <c:pt idx="7">
                  <c:v>85</c:v>
                </c:pt>
              </c:numCache>
            </c:numRef>
          </c:xVal>
          <c:yVal>
            <c:numRef>
              <c:f>RANGES!$C$8:$C$15</c:f>
              <c:numCache>
                <c:formatCode>General</c:formatCode>
                <c:ptCount val="8"/>
                <c:pt idx="0">
                  <c:v>11.3</c:v>
                </c:pt>
                <c:pt idx="1">
                  <c:v>10.3</c:v>
                </c:pt>
                <c:pt idx="2">
                  <c:v>9.3000000000000007</c:v>
                </c:pt>
                <c:pt idx="3">
                  <c:v>8.3000000000000007</c:v>
                </c:pt>
                <c:pt idx="4">
                  <c:v>7.4</c:v>
                </c:pt>
                <c:pt idx="5">
                  <c:v>6.6</c:v>
                </c:pt>
                <c:pt idx="6">
                  <c:v>5.9</c:v>
                </c:pt>
                <c:pt idx="7">
                  <c:v>5.0999999999999996</c:v>
                </c:pt>
              </c:numCache>
            </c:numRef>
          </c:yVal>
          <c:smooth val="0"/>
          <c:extLst>
            <c:ext xmlns:c16="http://schemas.microsoft.com/office/drawing/2014/chart" uri="{C3380CC4-5D6E-409C-BE32-E72D297353CC}">
              <c16:uniqueId val="{00000009-56D3-4D99-BC86-C25A7F845B4E}"/>
            </c:ext>
          </c:extLst>
        </c:ser>
        <c:ser>
          <c:idx val="0"/>
          <c:order val="6"/>
          <c:tx>
            <c:strRef>
              <c:f>RANGES!$B$7</c:f>
              <c:strCache>
                <c:ptCount val="1"/>
                <c:pt idx="0">
                  <c:v>minimo</c:v>
                </c:pt>
              </c:strCache>
            </c:strRef>
          </c:tx>
          <c:spPr>
            <a:ln w="25400" cap="rnd">
              <a:noFill/>
              <a:round/>
            </a:ln>
            <a:effectLst/>
          </c:spPr>
          <c:marker>
            <c:symbol val="circle"/>
            <c:size val="5"/>
            <c:spPr>
              <a:solidFill>
                <a:schemeClr val="bg1"/>
              </a:solidFill>
              <a:ln w="9525">
                <a:solidFill>
                  <a:schemeClr val="dk1">
                    <a:tint val="88500"/>
                  </a:schemeClr>
                </a:solidFill>
              </a:ln>
              <a:effectLst/>
            </c:spPr>
          </c:marker>
          <c:trendline>
            <c:spPr>
              <a:ln w="19050" cap="rnd">
                <a:solidFill>
                  <a:schemeClr val="dk1">
                    <a:tint val="88500"/>
                  </a:schemeClr>
                </a:solidFill>
                <a:prstDash val="sysDot"/>
              </a:ln>
              <a:effectLst/>
            </c:spPr>
            <c:trendlineType val="poly"/>
            <c:order val="2"/>
            <c:dispRSqr val="1"/>
            <c:dispEq val="1"/>
            <c:trendlineLbl>
              <c:layout>
                <c:manualLayout>
                  <c:x val="-0.30133094514363956"/>
                  <c:y val="6.716213557467058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RANGES!$A$8:$A$15</c:f>
              <c:numCache>
                <c:formatCode>General</c:formatCode>
                <c:ptCount val="8"/>
                <c:pt idx="0">
                  <c:v>15</c:v>
                </c:pt>
                <c:pt idx="1">
                  <c:v>25</c:v>
                </c:pt>
                <c:pt idx="2">
                  <c:v>35</c:v>
                </c:pt>
                <c:pt idx="3">
                  <c:v>45</c:v>
                </c:pt>
                <c:pt idx="4">
                  <c:v>55</c:v>
                </c:pt>
                <c:pt idx="5">
                  <c:v>65</c:v>
                </c:pt>
                <c:pt idx="6">
                  <c:v>75</c:v>
                </c:pt>
                <c:pt idx="7">
                  <c:v>85</c:v>
                </c:pt>
              </c:numCache>
            </c:numRef>
          </c:xVal>
          <c:yVal>
            <c:numRef>
              <c:f>RANGES!$B$8:$B$15</c:f>
              <c:numCache>
                <c:formatCode>General</c:formatCode>
                <c:ptCount val="8"/>
                <c:pt idx="0">
                  <c:v>11</c:v>
                </c:pt>
                <c:pt idx="1">
                  <c:v>9.9</c:v>
                </c:pt>
                <c:pt idx="2">
                  <c:v>8.9</c:v>
                </c:pt>
                <c:pt idx="3">
                  <c:v>7.9</c:v>
                </c:pt>
                <c:pt idx="4">
                  <c:v>7.1</c:v>
                </c:pt>
                <c:pt idx="5">
                  <c:v>6.2</c:v>
                </c:pt>
                <c:pt idx="6">
                  <c:v>5.4</c:v>
                </c:pt>
                <c:pt idx="7">
                  <c:v>4.5</c:v>
                </c:pt>
              </c:numCache>
            </c:numRef>
          </c:yVal>
          <c:smooth val="0"/>
          <c:extLst>
            <c:ext xmlns:c16="http://schemas.microsoft.com/office/drawing/2014/chart" uri="{C3380CC4-5D6E-409C-BE32-E72D297353CC}">
              <c16:uniqueId val="{00000000-56D3-4D99-BC86-C25A7F845B4E}"/>
            </c:ext>
          </c:extLst>
        </c:ser>
        <c:dLbls>
          <c:showLegendKey val="0"/>
          <c:showVal val="0"/>
          <c:showCatName val="0"/>
          <c:showSerName val="0"/>
          <c:showPercent val="0"/>
          <c:showBubbleSize val="0"/>
        </c:dLbls>
        <c:axId val="1142609391"/>
        <c:axId val="1142842127"/>
      </c:scatterChart>
      <c:valAx>
        <c:axId val="11426093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Edad cronológica (años)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842127"/>
        <c:crosses val="autoZero"/>
        <c:crossBetween val="midCat"/>
      </c:valAx>
      <c:valAx>
        <c:axId val="1142842127"/>
        <c:scaling>
          <c:orientation val="minMax"/>
          <c:max val="18"/>
          <c:min val="2"/>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Largo de telómeros (Kb)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609391"/>
        <c:crosses val="autoZero"/>
        <c:crossBetween val="midCat"/>
      </c:valAx>
      <c:spPr>
        <a:noFill/>
        <a:ln w="25400">
          <a:noFill/>
        </a:ln>
        <a:effectLst/>
      </c:spPr>
    </c:plotArea>
    <c:legend>
      <c:legendPos val="r"/>
      <c:legendEntry>
        <c:idx val="6"/>
        <c:delete val="1"/>
      </c:legendEntry>
      <c:layout>
        <c:manualLayout>
          <c:xMode val="edge"/>
          <c:yMode val="edge"/>
          <c:x val="0.81325813637009903"/>
          <c:y val="0.42930698675897405"/>
          <c:w val="0.17298433998415719"/>
          <c:h val="0.3440550099667318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ontserrat" panose="00000500000000000000" pitchFamily="2"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u="none"/>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t>Percentiles de Media de Longitud Telomérica</a:t>
            </a:r>
          </a:p>
          <a:p>
            <a:pPr>
              <a:defRPr/>
            </a:pPr>
            <a:r>
              <a:rPr lang="en-US" sz="1300"/>
              <a:t>MLT (Kb)</a:t>
            </a:r>
          </a:p>
        </c:rich>
      </c:tx>
      <c:layout>
        <c:manualLayout>
          <c:xMode val="edge"/>
          <c:yMode val="edge"/>
          <c:x val="0.13963568298982548"/>
          <c:y val="1.17775058564222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286818314377372"/>
          <c:y val="0.15699470899470899"/>
          <c:w val="0.65987897346165059"/>
          <c:h val="0.65505478481856438"/>
        </c:manualLayout>
      </c:layout>
      <c:scatterChart>
        <c:scatterStyle val="lineMarker"/>
        <c:varyColors val="0"/>
        <c:ser>
          <c:idx val="0"/>
          <c:order val="0"/>
          <c:tx>
            <c:v>Tú</c:v>
          </c:tx>
          <c:spPr>
            <a:ln w="25400" cap="rnd">
              <a:noFill/>
              <a:round/>
            </a:ln>
            <a:effectLst/>
          </c:spPr>
          <c:marker>
            <c:symbol val="circle"/>
            <c:size val="5"/>
            <c:spPr>
              <a:solidFill>
                <a:schemeClr val="tx1"/>
              </a:solidFill>
              <a:ln w="9525">
                <a:solidFill>
                  <a:schemeClr val="dk1">
                    <a:tint val="88500"/>
                  </a:schemeClr>
                </a:solidFill>
              </a:ln>
              <a:effectLst/>
            </c:spPr>
          </c:marker>
          <c:xVal>
            <c:numRef>
              <c:f>SELECTOR!$B$5</c:f>
              <c:numCache>
                <c:formatCode>General</c:formatCode>
                <c:ptCount val="1"/>
                <c:pt idx="0">
                  <c:v>37.18611111111111</c:v>
                </c:pt>
              </c:numCache>
            </c:numRef>
          </c:xVal>
          <c:yVal>
            <c:numRef>
              <c:f>SELECTOR!$B$6</c:f>
              <c:numCache>
                <c:formatCode>0.0</c:formatCode>
                <c:ptCount val="1"/>
                <c:pt idx="0">
                  <c:v>11.396165249624779</c:v>
                </c:pt>
              </c:numCache>
            </c:numRef>
          </c:yVal>
          <c:smooth val="0"/>
          <c:extLst>
            <c:ext xmlns:c16="http://schemas.microsoft.com/office/drawing/2014/chart" uri="{C3380CC4-5D6E-409C-BE32-E72D297353CC}">
              <c16:uniqueId val="{00000000-EFF9-4551-9374-7427AD756935}"/>
            </c:ext>
          </c:extLst>
        </c:ser>
        <c:ser>
          <c:idx val="1"/>
          <c:order val="1"/>
          <c:tx>
            <c:v>tsuji-</c:v>
          </c:tx>
          <c:spPr>
            <a:ln w="25400" cap="rnd">
              <a:noFill/>
              <a:round/>
            </a:ln>
            <a:effectLst/>
          </c:spPr>
          <c:marker>
            <c:symbol val="circle"/>
            <c:size val="5"/>
            <c:spPr>
              <a:noFill/>
              <a:ln w="9525">
                <a:noFill/>
              </a:ln>
              <a:effectLst/>
            </c:spPr>
          </c:marker>
          <c:trendline>
            <c:spPr>
              <a:ln w="19050" cap="rnd">
                <a:solidFill>
                  <a:srgbClr val="FFC000"/>
                </a:solidFill>
                <a:prstDash val="sysDot"/>
              </a:ln>
              <a:effectLst/>
            </c:spPr>
            <c:trendlineType val="linear"/>
            <c:dispRSqr val="0"/>
            <c:dispEq val="0"/>
          </c:trendline>
          <c:xVal>
            <c:numRef>
              <c:f>SELECTOR!$C$3:$C$10</c:f>
              <c:numCache>
                <c:formatCode>General</c:formatCode>
                <c:ptCount val="8"/>
                <c:pt idx="0">
                  <c:v>15</c:v>
                </c:pt>
                <c:pt idx="1">
                  <c:v>25</c:v>
                </c:pt>
                <c:pt idx="2">
                  <c:v>35</c:v>
                </c:pt>
                <c:pt idx="3">
                  <c:v>45</c:v>
                </c:pt>
                <c:pt idx="4">
                  <c:v>55</c:v>
                </c:pt>
                <c:pt idx="5">
                  <c:v>65</c:v>
                </c:pt>
                <c:pt idx="6">
                  <c:v>75</c:v>
                </c:pt>
                <c:pt idx="7">
                  <c:v>85</c:v>
                </c:pt>
              </c:numCache>
            </c:numRef>
          </c:xVal>
          <c:yVal>
            <c:numRef>
              <c:f>SELECTOR!$D$3:$D$10</c:f>
              <c:numCache>
                <c:formatCode>General</c:formatCode>
                <c:ptCount val="8"/>
                <c:pt idx="0">
                  <c:v>13.353999999999999</c:v>
                </c:pt>
                <c:pt idx="1">
                  <c:v>12.301368421052631</c:v>
                </c:pt>
                <c:pt idx="2">
                  <c:v>11.248736842105263</c:v>
                </c:pt>
                <c:pt idx="3">
                  <c:v>10.196105263157895</c:v>
                </c:pt>
                <c:pt idx="4">
                  <c:v>9.1434736842105266</c:v>
                </c:pt>
                <c:pt idx="5">
                  <c:v>8.0908421052631585</c:v>
                </c:pt>
                <c:pt idx="6">
                  <c:v>7.0382105263157895</c:v>
                </c:pt>
                <c:pt idx="7">
                  <c:v>5.9855789473684213</c:v>
                </c:pt>
              </c:numCache>
            </c:numRef>
          </c:yVal>
          <c:smooth val="0"/>
          <c:extLst>
            <c:ext xmlns:c16="http://schemas.microsoft.com/office/drawing/2014/chart" uri="{C3380CC4-5D6E-409C-BE32-E72D297353CC}">
              <c16:uniqueId val="{00000002-EFF9-4551-9374-7427AD756935}"/>
            </c:ext>
          </c:extLst>
        </c:ser>
        <c:ser>
          <c:idx val="2"/>
          <c:order val="2"/>
          <c:tx>
            <c:v>tsuji+</c:v>
          </c:tx>
          <c:spPr>
            <a:ln w="25400" cap="rnd">
              <a:noFill/>
              <a:round/>
            </a:ln>
            <a:effectLst/>
          </c:spPr>
          <c:marker>
            <c:symbol val="circle"/>
            <c:size val="5"/>
            <c:spPr>
              <a:noFill/>
              <a:ln w="9525">
                <a:noFill/>
              </a:ln>
              <a:effectLst/>
            </c:spPr>
          </c:marker>
          <c:trendline>
            <c:spPr>
              <a:ln w="19050" cap="rnd">
                <a:solidFill>
                  <a:srgbClr val="00B050"/>
                </a:solidFill>
                <a:prstDash val="sysDot"/>
              </a:ln>
              <a:effectLst/>
            </c:spPr>
            <c:trendlineType val="linear"/>
            <c:dispRSqr val="0"/>
            <c:dispEq val="0"/>
          </c:trendline>
          <c:xVal>
            <c:numRef>
              <c:f>SELECTOR!$C$3:$C$10</c:f>
              <c:numCache>
                <c:formatCode>General</c:formatCode>
                <c:ptCount val="8"/>
                <c:pt idx="0">
                  <c:v>15</c:v>
                </c:pt>
                <c:pt idx="1">
                  <c:v>25</c:v>
                </c:pt>
                <c:pt idx="2">
                  <c:v>35</c:v>
                </c:pt>
                <c:pt idx="3">
                  <c:v>45</c:v>
                </c:pt>
                <c:pt idx="4">
                  <c:v>55</c:v>
                </c:pt>
                <c:pt idx="5">
                  <c:v>65</c:v>
                </c:pt>
                <c:pt idx="6">
                  <c:v>75</c:v>
                </c:pt>
                <c:pt idx="7">
                  <c:v>85</c:v>
                </c:pt>
              </c:numCache>
            </c:numRef>
          </c:xVal>
          <c:yVal>
            <c:numRef>
              <c:f>SELECTOR!$E$3:$E$10</c:f>
              <c:numCache>
                <c:formatCode>General</c:formatCode>
                <c:ptCount val="8"/>
                <c:pt idx="0">
                  <c:v>14.835473684210527</c:v>
                </c:pt>
                <c:pt idx="1">
                  <c:v>13.782842105263159</c:v>
                </c:pt>
                <c:pt idx="2">
                  <c:v>12.730210526315791</c:v>
                </c:pt>
                <c:pt idx="3">
                  <c:v>11.677578947368422</c:v>
                </c:pt>
                <c:pt idx="4">
                  <c:v>10.624947368421054</c:v>
                </c:pt>
                <c:pt idx="5">
                  <c:v>9.5723157894736861</c:v>
                </c:pt>
                <c:pt idx="6">
                  <c:v>8.5196842105263162</c:v>
                </c:pt>
                <c:pt idx="7">
                  <c:v>7.4670526315789489</c:v>
                </c:pt>
              </c:numCache>
            </c:numRef>
          </c:yVal>
          <c:smooth val="0"/>
          <c:extLst>
            <c:ext xmlns:c16="http://schemas.microsoft.com/office/drawing/2014/chart" uri="{C3380CC4-5D6E-409C-BE32-E72D297353CC}">
              <c16:uniqueId val="{00000004-EFF9-4551-9374-7427AD756935}"/>
            </c:ext>
          </c:extLst>
        </c:ser>
        <c:ser>
          <c:idx val="3"/>
          <c:order val="3"/>
          <c:tx>
            <c:v>takasaki-</c:v>
          </c:tx>
          <c:spPr>
            <a:ln w="25400" cap="rnd">
              <a:noFill/>
              <a:round/>
            </a:ln>
            <a:effectLst/>
          </c:spPr>
          <c:marker>
            <c:symbol val="circle"/>
            <c:size val="5"/>
            <c:spPr>
              <a:noFill/>
              <a:ln w="9525">
                <a:noFill/>
              </a:ln>
              <a:effectLst/>
            </c:spPr>
          </c:marker>
          <c:trendline>
            <c:spPr>
              <a:ln w="19050" cap="rnd">
                <a:solidFill>
                  <a:schemeClr val="accent2"/>
                </a:solidFill>
                <a:prstDash val="sysDot"/>
              </a:ln>
              <a:effectLst/>
            </c:spPr>
            <c:trendlineType val="linear"/>
            <c:dispRSqr val="0"/>
            <c:dispEq val="0"/>
          </c:trendline>
          <c:xVal>
            <c:numRef>
              <c:f>SELECTOR!$C$3:$C$10</c:f>
              <c:numCache>
                <c:formatCode>General</c:formatCode>
                <c:ptCount val="8"/>
                <c:pt idx="0">
                  <c:v>15</c:v>
                </c:pt>
                <c:pt idx="1">
                  <c:v>25</c:v>
                </c:pt>
                <c:pt idx="2">
                  <c:v>35</c:v>
                </c:pt>
                <c:pt idx="3">
                  <c:v>45</c:v>
                </c:pt>
                <c:pt idx="4">
                  <c:v>55</c:v>
                </c:pt>
                <c:pt idx="5">
                  <c:v>65</c:v>
                </c:pt>
                <c:pt idx="6">
                  <c:v>75</c:v>
                </c:pt>
                <c:pt idx="7">
                  <c:v>85</c:v>
                </c:pt>
              </c:numCache>
            </c:numRef>
          </c:xVal>
          <c:yVal>
            <c:numRef>
              <c:f>SELECTOR!$F$3:$F$10</c:f>
              <c:numCache>
                <c:formatCode>General</c:formatCode>
                <c:ptCount val="8"/>
                <c:pt idx="0">
                  <c:v>12.225210084033613</c:v>
                </c:pt>
                <c:pt idx="1">
                  <c:v>11.384873949579831</c:v>
                </c:pt>
                <c:pt idx="2">
                  <c:v>10.54453781512605</c:v>
                </c:pt>
                <c:pt idx="3">
                  <c:v>9.7042016806722682</c:v>
                </c:pt>
                <c:pt idx="4">
                  <c:v>8.8638655462184879</c:v>
                </c:pt>
                <c:pt idx="5">
                  <c:v>8.0235294117647058</c:v>
                </c:pt>
                <c:pt idx="6">
                  <c:v>7.1831932773109246</c:v>
                </c:pt>
                <c:pt idx="7">
                  <c:v>6.3428571428571434</c:v>
                </c:pt>
              </c:numCache>
            </c:numRef>
          </c:yVal>
          <c:smooth val="0"/>
          <c:extLst>
            <c:ext xmlns:c16="http://schemas.microsoft.com/office/drawing/2014/chart" uri="{C3380CC4-5D6E-409C-BE32-E72D297353CC}">
              <c16:uniqueId val="{00000006-EFF9-4551-9374-7427AD756935}"/>
            </c:ext>
          </c:extLst>
        </c:ser>
        <c:ser>
          <c:idx val="4"/>
          <c:order val="4"/>
          <c:tx>
            <c:v>takasaki+</c:v>
          </c:tx>
          <c:spPr>
            <a:ln w="25400" cap="rnd">
              <a:noFill/>
              <a:round/>
            </a:ln>
            <a:effectLst/>
          </c:spPr>
          <c:marker>
            <c:symbol val="circle"/>
            <c:size val="5"/>
            <c:spPr>
              <a:noFill/>
              <a:ln w="9525">
                <a:noFill/>
              </a:ln>
              <a:effectLst/>
            </c:spPr>
          </c:marker>
          <c:trendline>
            <c:spPr>
              <a:ln w="19050" cap="rnd">
                <a:solidFill>
                  <a:srgbClr val="92D050"/>
                </a:solidFill>
                <a:prstDash val="sysDot"/>
              </a:ln>
              <a:effectLst/>
            </c:spPr>
            <c:trendlineType val="linear"/>
            <c:dispRSqr val="0"/>
            <c:dispEq val="0"/>
          </c:trendline>
          <c:xVal>
            <c:numRef>
              <c:f>SELECTOR!$C$3:$C$10</c:f>
              <c:numCache>
                <c:formatCode>General</c:formatCode>
                <c:ptCount val="8"/>
                <c:pt idx="0">
                  <c:v>15</c:v>
                </c:pt>
                <c:pt idx="1">
                  <c:v>25</c:v>
                </c:pt>
                <c:pt idx="2">
                  <c:v>35</c:v>
                </c:pt>
                <c:pt idx="3">
                  <c:v>45</c:v>
                </c:pt>
                <c:pt idx="4">
                  <c:v>55</c:v>
                </c:pt>
                <c:pt idx="5">
                  <c:v>65</c:v>
                </c:pt>
                <c:pt idx="6">
                  <c:v>75</c:v>
                </c:pt>
                <c:pt idx="7">
                  <c:v>85</c:v>
                </c:pt>
              </c:numCache>
            </c:numRef>
          </c:xVal>
          <c:yVal>
            <c:numRef>
              <c:f>SELECTOR!$G$3:$G$10</c:f>
              <c:numCache>
                <c:formatCode>General</c:formatCode>
                <c:ptCount val="8"/>
                <c:pt idx="0">
                  <c:v>13.489075630252101</c:v>
                </c:pt>
                <c:pt idx="1">
                  <c:v>12.648739495798321</c:v>
                </c:pt>
                <c:pt idx="2">
                  <c:v>11.808403361344538</c:v>
                </c:pt>
                <c:pt idx="3">
                  <c:v>10.968067226890756</c:v>
                </c:pt>
                <c:pt idx="4">
                  <c:v>10.127731092436974</c:v>
                </c:pt>
                <c:pt idx="5">
                  <c:v>9.2873949579831923</c:v>
                </c:pt>
                <c:pt idx="6">
                  <c:v>8.447058823529412</c:v>
                </c:pt>
                <c:pt idx="7">
                  <c:v>7.6067226890756299</c:v>
                </c:pt>
              </c:numCache>
            </c:numRef>
          </c:yVal>
          <c:smooth val="0"/>
          <c:extLst>
            <c:ext xmlns:c16="http://schemas.microsoft.com/office/drawing/2014/chart" uri="{C3380CC4-5D6E-409C-BE32-E72D297353CC}">
              <c16:uniqueId val="{00000008-EFF9-4551-9374-7427AD756935}"/>
            </c:ext>
          </c:extLst>
        </c:ser>
        <c:dLbls>
          <c:showLegendKey val="0"/>
          <c:showVal val="0"/>
          <c:showCatName val="0"/>
          <c:showSerName val="0"/>
          <c:showPercent val="0"/>
          <c:showBubbleSize val="0"/>
        </c:dLbls>
        <c:axId val="1142609391"/>
        <c:axId val="1142842127"/>
      </c:scatterChart>
      <c:valAx>
        <c:axId val="1142609391"/>
        <c:scaling>
          <c:orientation val="minMax"/>
          <c:max val="85"/>
          <c:min val="15"/>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Edad cronológica (años)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842127"/>
        <c:crosses val="autoZero"/>
        <c:crossBetween val="midCat"/>
        <c:majorUnit val="10"/>
      </c:valAx>
      <c:valAx>
        <c:axId val="1142842127"/>
        <c:scaling>
          <c:orientation val="minMax"/>
          <c:max val="18"/>
          <c:min val="2"/>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Largo de telómeros (Kb)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6093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srcRect/>
      <a:stretch>
        <a:fillRect l="13000" t="15000" r="5000" b="18000"/>
      </a:stretch>
    </a:blipFill>
    <a:ln w="9525" cap="flat" cmpd="sng" algn="ctr">
      <a:solidFill>
        <a:schemeClr val="tx1">
          <a:lumMod val="15000"/>
          <a:lumOff val="85000"/>
        </a:schemeClr>
      </a:solidFill>
      <a:round/>
    </a:ln>
    <a:effectLst/>
  </c:spPr>
  <c:txPr>
    <a:bodyPr/>
    <a:lstStyle/>
    <a:p>
      <a:pPr>
        <a:defRPr u="none"/>
      </a:pPr>
      <a:endParaRPr lang="en-US"/>
    </a:p>
  </c:txPr>
  <c:printSettings>
    <c:headerFooter/>
    <c:pageMargins b="0.75" l="0.7" r="0.7" t="0.75" header="0.3" footer="0.3"/>
    <c:pageSetup/>
  </c:printSettings>
  <c:userShapes r:id="rId4"/>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10</xdr:col>
      <xdr:colOff>560992</xdr:colOff>
      <xdr:row>2</xdr:row>
      <xdr:rowOff>847619</xdr:rowOff>
    </xdr:to>
    <xdr:pic>
      <xdr:nvPicPr>
        <xdr:cNvPr id="12" name="Picture 11">
          <a:extLst>
            <a:ext uri="{FF2B5EF4-FFF2-40B4-BE49-F238E27FC236}">
              <a16:creationId xmlns:a16="http://schemas.microsoft.com/office/drawing/2014/main" id="{4318AB33-D96A-4A31-95BE-3C332158E8A3}"/>
            </a:ext>
          </a:extLst>
        </xdr:cNvPr>
        <xdr:cNvPicPr>
          <a:picLocks noChangeAspect="1"/>
        </xdr:cNvPicPr>
      </xdr:nvPicPr>
      <xdr:blipFill>
        <a:blip xmlns:r="http://schemas.openxmlformats.org/officeDocument/2006/relationships" r:embed="rId1"/>
        <a:stretch>
          <a:fillRect/>
        </a:stretch>
      </xdr:blipFill>
      <xdr:spPr>
        <a:xfrm>
          <a:off x="0" y="400050"/>
          <a:ext cx="7866667" cy="847619"/>
        </a:xfrm>
        <a:prstGeom prst="rect">
          <a:avLst/>
        </a:prstGeom>
      </xdr:spPr>
    </xdr:pic>
    <xdr:clientData/>
  </xdr:twoCellAnchor>
  <xdr:twoCellAnchor editAs="oneCell">
    <xdr:from>
      <xdr:col>1</xdr:col>
      <xdr:colOff>1</xdr:colOff>
      <xdr:row>4</xdr:row>
      <xdr:rowOff>1</xdr:rowOff>
    </xdr:from>
    <xdr:to>
      <xdr:col>6</xdr:col>
      <xdr:colOff>123825</xdr:colOff>
      <xdr:row>4</xdr:row>
      <xdr:rowOff>2981894</xdr:rowOff>
    </xdr:to>
    <xdr:pic>
      <xdr:nvPicPr>
        <xdr:cNvPr id="13" name="Picture 12">
          <a:extLst>
            <a:ext uri="{FF2B5EF4-FFF2-40B4-BE49-F238E27FC236}">
              <a16:creationId xmlns:a16="http://schemas.microsoft.com/office/drawing/2014/main" id="{72380EBB-63A2-4083-BDA4-DA21DB142D60}"/>
            </a:ext>
          </a:extLst>
        </xdr:cNvPr>
        <xdr:cNvPicPr>
          <a:picLocks noChangeAspect="1"/>
        </xdr:cNvPicPr>
      </xdr:nvPicPr>
      <xdr:blipFill>
        <a:blip xmlns:r="http://schemas.openxmlformats.org/officeDocument/2006/relationships" r:embed="rId2"/>
        <a:stretch>
          <a:fillRect/>
        </a:stretch>
      </xdr:blipFill>
      <xdr:spPr>
        <a:xfrm>
          <a:off x="266701" y="1419226"/>
          <a:ext cx="4724399" cy="2981893"/>
        </a:xfrm>
        <a:prstGeom prst="rect">
          <a:avLst/>
        </a:prstGeom>
      </xdr:spPr>
    </xdr:pic>
    <xdr:clientData/>
  </xdr:twoCellAnchor>
  <xdr:twoCellAnchor editAs="oneCell">
    <xdr:from>
      <xdr:col>1</xdr:col>
      <xdr:colOff>0</xdr:colOff>
      <xdr:row>6</xdr:row>
      <xdr:rowOff>0</xdr:rowOff>
    </xdr:from>
    <xdr:to>
      <xdr:col>4</xdr:col>
      <xdr:colOff>237673</xdr:colOff>
      <xdr:row>6</xdr:row>
      <xdr:rowOff>1171429</xdr:rowOff>
    </xdr:to>
    <xdr:pic>
      <xdr:nvPicPr>
        <xdr:cNvPr id="15" name="Picture 14">
          <a:extLst>
            <a:ext uri="{FF2B5EF4-FFF2-40B4-BE49-F238E27FC236}">
              <a16:creationId xmlns:a16="http://schemas.microsoft.com/office/drawing/2014/main" id="{696AD019-07E6-4DB8-99AB-EBF4F1D47785}"/>
            </a:ext>
          </a:extLst>
        </xdr:cNvPr>
        <xdr:cNvPicPr>
          <a:picLocks noChangeAspect="1"/>
        </xdr:cNvPicPr>
      </xdr:nvPicPr>
      <xdr:blipFill>
        <a:blip xmlns:r="http://schemas.openxmlformats.org/officeDocument/2006/relationships" r:embed="rId3"/>
        <a:stretch>
          <a:fillRect/>
        </a:stretch>
      </xdr:blipFill>
      <xdr:spPr>
        <a:xfrm>
          <a:off x="266700" y="4600575"/>
          <a:ext cx="3619048" cy="11714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218274</xdr:colOff>
      <xdr:row>18</xdr:row>
      <xdr:rowOff>58905</xdr:rowOff>
    </xdr:to>
    <xdr:graphicFrame macro="">
      <xdr:nvGraphicFramePr>
        <xdr:cNvPr id="2" name="Gráfico 2">
          <a:extLst>
            <a:ext uri="{FF2B5EF4-FFF2-40B4-BE49-F238E27FC236}">
              <a16:creationId xmlns:a16="http://schemas.microsoft.com/office/drawing/2014/main" id="{49DEF721-5680-4B3B-B2AB-646EFBAEB1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476250</xdr:colOff>
      <xdr:row>0</xdr:row>
      <xdr:rowOff>28575</xdr:rowOff>
    </xdr:from>
    <xdr:to>
      <xdr:col>13</xdr:col>
      <xdr:colOff>430556</xdr:colOff>
      <xdr:row>18</xdr:row>
      <xdr:rowOff>13769</xdr:rowOff>
    </xdr:to>
    <xdr:graphicFrame macro="">
      <xdr:nvGraphicFramePr>
        <xdr:cNvPr id="3" name="Gráfico 5">
          <a:extLst>
            <a:ext uri="{FF2B5EF4-FFF2-40B4-BE49-F238E27FC236}">
              <a16:creationId xmlns:a16="http://schemas.microsoft.com/office/drawing/2014/main" id="{0B4C6832-7095-4160-A4B3-E19DF28B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590550</xdr:colOff>
      <xdr:row>0</xdr:row>
      <xdr:rowOff>38100</xdr:rowOff>
    </xdr:from>
    <xdr:to>
      <xdr:col>21</xdr:col>
      <xdr:colOff>406702</xdr:colOff>
      <xdr:row>22</xdr:row>
      <xdr:rowOff>10954</xdr:rowOff>
    </xdr:to>
    <xdr:graphicFrame macro="">
      <xdr:nvGraphicFramePr>
        <xdr:cNvPr id="4" name="Gráfico 4">
          <a:extLst>
            <a:ext uri="{FF2B5EF4-FFF2-40B4-BE49-F238E27FC236}">
              <a16:creationId xmlns:a16="http://schemas.microsoft.com/office/drawing/2014/main" id="{435EA5C9-3424-49FF-9631-5122553863F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190500</xdr:colOff>
      <xdr:row>20</xdr:row>
      <xdr:rowOff>19050</xdr:rowOff>
    </xdr:from>
    <xdr:to>
      <xdr:col>15</xdr:col>
      <xdr:colOff>42862</xdr:colOff>
      <xdr:row>30</xdr:row>
      <xdr:rowOff>114300</xdr:rowOff>
    </xdr:to>
    <xdr:graphicFrame macro="">
      <xdr:nvGraphicFramePr>
        <xdr:cNvPr id="5" name="Chart 4">
          <a:extLst>
            <a:ext uri="{FF2B5EF4-FFF2-40B4-BE49-F238E27FC236}">
              <a16:creationId xmlns:a16="http://schemas.microsoft.com/office/drawing/2014/main" id="{ED69CA34-0722-4E16-A0AA-4CB52A739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13</xdr:col>
      <xdr:colOff>209097</xdr:colOff>
      <xdr:row>3</xdr:row>
      <xdr:rowOff>108517</xdr:rowOff>
    </xdr:from>
    <xdr:to>
      <xdr:col>25</xdr:col>
      <xdr:colOff>246290</xdr:colOff>
      <xdr:row>30</xdr:row>
      <xdr:rowOff>3854</xdr:rowOff>
    </xdr:to>
    <xdr:graphicFrame macro="">
      <xdr:nvGraphicFramePr>
        <xdr:cNvPr id="2" name="Gráfico 4">
          <a:extLst>
            <a:ext uri="{FF2B5EF4-FFF2-40B4-BE49-F238E27FC236}">
              <a16:creationId xmlns:a16="http://schemas.microsoft.com/office/drawing/2014/main" id="{54092CF1-14C6-4124-AD16-7BE2DC34FFDE}"/>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367320</xdr:colOff>
      <xdr:row>15</xdr:row>
      <xdr:rowOff>68225</xdr:rowOff>
    </xdr:from>
    <xdr:to>
      <xdr:col>5</xdr:col>
      <xdr:colOff>234913</xdr:colOff>
      <xdr:row>30</xdr:row>
      <xdr:rowOff>164798</xdr:rowOff>
    </xdr:to>
    <xdr:graphicFrame macro="">
      <xdr:nvGraphicFramePr>
        <xdr:cNvPr id="4" name="Gráfico 4">
          <a:extLst>
            <a:ext uri="{FF2B5EF4-FFF2-40B4-BE49-F238E27FC236}">
              <a16:creationId xmlns:a16="http://schemas.microsoft.com/office/drawing/2014/main" id="{5EBE19E1-1947-43BD-9D4C-19C99933D6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0.8254</cdr:x>
      <cdr:y>0.38831</cdr:y>
    </cdr:from>
    <cdr:to>
      <cdr:x>0.89286</cdr:x>
      <cdr:y>0.64545</cdr:y>
    </cdr:to>
    <cdr:sp macro="" textlink="">
      <cdr:nvSpPr>
        <cdr:cNvPr id="3" name="CuadroTexto 2">
          <a:extLst xmlns:a="http://schemas.openxmlformats.org/drawingml/2006/main">
            <a:ext uri="{FF2B5EF4-FFF2-40B4-BE49-F238E27FC236}">
              <a16:creationId xmlns:a16="http://schemas.microsoft.com/office/drawing/2014/main" id="{6C8449F2-4A60-4FDD-B371-4C107D010EE3}"/>
            </a:ext>
          </a:extLst>
        </cdr:cNvPr>
        <cdr:cNvSpPr txBox="1"/>
      </cdr:nvSpPr>
      <cdr:spPr>
        <a:xfrm xmlns:a="http://schemas.openxmlformats.org/drawingml/2006/main">
          <a:off x="3946691" y="1104984"/>
          <a:ext cx="322564" cy="731716"/>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spcBef>
              <a:spcPts val="100"/>
            </a:spcBef>
          </a:pPr>
          <a:r>
            <a:rPr lang="en-US" sz="700" b="1"/>
            <a:t>[90-95]</a:t>
          </a:r>
        </a:p>
        <a:p xmlns:a="http://schemas.openxmlformats.org/drawingml/2006/main">
          <a:pPr>
            <a:spcBef>
              <a:spcPts val="100"/>
            </a:spcBef>
          </a:pPr>
          <a:r>
            <a:rPr lang="en-US" sz="700" b="1"/>
            <a:t>[75-90]</a:t>
          </a:r>
        </a:p>
        <a:p xmlns:a="http://schemas.openxmlformats.org/drawingml/2006/main">
          <a:pPr>
            <a:spcBef>
              <a:spcPts val="100"/>
            </a:spcBef>
          </a:pPr>
          <a:r>
            <a:rPr lang="en-US" sz="700" b="1"/>
            <a:t>[50-75]</a:t>
          </a:r>
        </a:p>
        <a:p xmlns:a="http://schemas.openxmlformats.org/drawingml/2006/main">
          <a:pPr>
            <a:spcBef>
              <a:spcPts val="100"/>
            </a:spcBef>
          </a:pPr>
          <a:r>
            <a:rPr lang="en-US" sz="700" b="1"/>
            <a:t>[25-50]</a:t>
          </a:r>
        </a:p>
        <a:p xmlns:a="http://schemas.openxmlformats.org/drawingml/2006/main">
          <a:pPr>
            <a:spcBef>
              <a:spcPts val="100"/>
            </a:spcBef>
          </a:pPr>
          <a:r>
            <a:rPr lang="en-US" sz="700" b="1"/>
            <a:t>[10-25]</a:t>
          </a:r>
        </a:p>
        <a:p xmlns:a="http://schemas.openxmlformats.org/drawingml/2006/main">
          <a:pPr>
            <a:spcBef>
              <a:spcPts val="100"/>
            </a:spcBef>
          </a:pPr>
          <a:r>
            <a:rPr lang="en-US" sz="700" b="1"/>
            <a:t>[  5-10]</a:t>
          </a:r>
        </a:p>
      </cdr:txBody>
    </cdr:sp>
  </cdr:relSizeAnchor>
</c:userShape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E7508-C32A-40E8-81CC-7C56B53D7FA7}">
  <sheetPr codeName="Sheet1"/>
  <dimension ref="A1:B19"/>
  <sheetViews>
    <sheetView workbookViewId="0">
      <selection activeCell="G2" sqref="G2"/>
    </sheetView>
  </sheetViews>
  <sheetFormatPr defaultRowHeight="13.2"/>
  <cols>
    <col min="1" max="1" width="4" bestFit="1" customWidth="1"/>
    <col min="2" max="2" width="32.44140625" bestFit="1" customWidth="1"/>
  </cols>
  <sheetData>
    <row r="1" spans="1:2" ht="15.6">
      <c r="A1" s="60">
        <v>1</v>
      </c>
      <c r="B1" s="61" t="s">
        <v>113</v>
      </c>
    </row>
    <row r="2" spans="1:2">
      <c r="A2" s="60">
        <v>1.1000000000000001</v>
      </c>
      <c r="B2" s="60" t="s">
        <v>114</v>
      </c>
    </row>
    <row r="3" spans="1:2" ht="67.5" customHeight="1">
      <c r="A3" s="31"/>
      <c r="B3" s="31"/>
    </row>
    <row r="4" spans="1:2">
      <c r="A4" s="60">
        <v>1.2</v>
      </c>
      <c r="B4" s="60" t="s">
        <v>116</v>
      </c>
    </row>
    <row r="5" spans="1:2" ht="237.75" customHeight="1">
      <c r="A5" s="31"/>
      <c r="B5" s="31"/>
    </row>
    <row r="6" spans="1:2">
      <c r="A6" s="60">
        <v>1.3</v>
      </c>
      <c r="B6" s="60" t="s">
        <v>115</v>
      </c>
    </row>
    <row r="7" spans="1:2" ht="96.75" customHeight="1">
      <c r="B7" s="31"/>
    </row>
    <row r="8" spans="1:2" ht="15">
      <c r="A8">
        <v>2</v>
      </c>
      <c r="B8" s="50" t="s">
        <v>117</v>
      </c>
    </row>
    <row r="9" spans="1:2" ht="15">
      <c r="A9">
        <v>3</v>
      </c>
      <c r="B9" s="50" t="s">
        <v>118</v>
      </c>
    </row>
    <row r="10" spans="1:2" ht="15">
      <c r="A10">
        <v>4</v>
      </c>
      <c r="B10" s="50" t="s">
        <v>119</v>
      </c>
    </row>
    <row r="11" spans="1:2" ht="15">
      <c r="A11">
        <v>4.0999999999999996</v>
      </c>
      <c r="B11" s="50" t="s">
        <v>120</v>
      </c>
    </row>
    <row r="12" spans="1:2" ht="15">
      <c r="A12">
        <v>4.2</v>
      </c>
      <c r="B12" s="50" t="s">
        <v>121</v>
      </c>
    </row>
    <row r="13" spans="1:2" ht="15">
      <c r="A13">
        <v>4.3</v>
      </c>
      <c r="B13" s="50" t="s">
        <v>122</v>
      </c>
    </row>
    <row r="14" spans="1:2" ht="15">
      <c r="A14">
        <v>4.4000000000000004</v>
      </c>
      <c r="B14" s="50" t="s">
        <v>123</v>
      </c>
    </row>
    <row r="15" spans="1:2" ht="15">
      <c r="A15">
        <v>5</v>
      </c>
      <c r="B15" s="50" t="s">
        <v>124</v>
      </c>
    </row>
    <row r="16" spans="1:2" ht="15">
      <c r="A16">
        <v>5.0999999999999996</v>
      </c>
      <c r="B16" s="50" t="s">
        <v>125</v>
      </c>
    </row>
    <row r="17" spans="1:2" ht="15">
      <c r="A17">
        <v>5.2</v>
      </c>
      <c r="B17" s="50" t="s">
        <v>126</v>
      </c>
    </row>
    <row r="18" spans="1:2" ht="15">
      <c r="A18">
        <v>5.3</v>
      </c>
      <c r="B18" s="50" t="s">
        <v>127</v>
      </c>
    </row>
    <row r="19" spans="1:2" ht="15">
      <c r="A19">
        <v>5.4</v>
      </c>
      <c r="B19" s="50" t="s">
        <v>128</v>
      </c>
    </row>
  </sheetData>
  <sheetProtection algorithmName="SHA-512" hashValue="TGVDZ3geVFn4tcvw/bDLoskwha3G94zpjnpwfcohLk5q5ApQfw5DFYsm8G2cPrcKUeJGQAStSwFr+3wOh1zE6A==" saltValue="ntXTUJbWK2LOBw7d6LnfKQ=="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N131"/>
  <sheetViews>
    <sheetView workbookViewId="0">
      <selection activeCell="A12" sqref="A12:G25"/>
    </sheetView>
  </sheetViews>
  <sheetFormatPr defaultColWidth="14.44140625" defaultRowHeight="15.75" customHeight="1"/>
  <cols>
    <col min="1" max="1" width="4.88671875" customWidth="1"/>
    <col min="2" max="2" width="10" bestFit="1" customWidth="1"/>
    <col min="3" max="3" width="6.88671875" bestFit="1" customWidth="1"/>
    <col min="4" max="4" width="9.33203125" bestFit="1" customWidth="1"/>
    <col min="5" max="5" width="8.21875" bestFit="1" customWidth="1"/>
    <col min="6" max="6" width="17.6640625" bestFit="1" customWidth="1"/>
    <col min="7" max="7" width="20.21875" bestFit="1" customWidth="1"/>
  </cols>
  <sheetData>
    <row r="1" spans="1:14" ht="15.75" customHeight="1">
      <c r="A1" s="89" t="s">
        <v>0</v>
      </c>
      <c r="B1" s="89" t="s">
        <v>1</v>
      </c>
      <c r="C1" s="89" t="s">
        <v>2</v>
      </c>
      <c r="D1" s="89" t="s">
        <v>3</v>
      </c>
      <c r="E1" s="89" t="s">
        <v>5</v>
      </c>
      <c r="F1" s="89" t="s">
        <v>6</v>
      </c>
      <c r="G1" s="89" t="s">
        <v>7</v>
      </c>
    </row>
    <row r="2" spans="1:14" ht="15.75" customHeight="1">
      <c r="A2" s="89" t="s">
        <v>139</v>
      </c>
      <c r="B2" s="89" t="s">
        <v>60</v>
      </c>
      <c r="C2" s="89" t="s">
        <v>10</v>
      </c>
      <c r="D2" s="89" t="s">
        <v>11</v>
      </c>
      <c r="E2" s="89">
        <v>28.02</v>
      </c>
      <c r="F2" s="89" t="s">
        <v>12</v>
      </c>
      <c r="G2" s="89">
        <v>80</v>
      </c>
      <c r="H2" s="2"/>
      <c r="J2" s="2"/>
      <c r="K2" s="2"/>
      <c r="L2" s="2"/>
      <c r="M2" s="2"/>
      <c r="N2" s="4"/>
    </row>
    <row r="3" spans="1:14" ht="15.75" customHeight="1">
      <c r="A3" s="89" t="s">
        <v>9</v>
      </c>
      <c r="B3" s="89" t="s">
        <v>60</v>
      </c>
      <c r="C3" s="89" t="s">
        <v>10</v>
      </c>
      <c r="D3" s="89" t="s">
        <v>11</v>
      </c>
      <c r="E3" s="89">
        <v>27.86</v>
      </c>
      <c r="F3" s="89" t="s">
        <v>12</v>
      </c>
      <c r="G3" s="89">
        <v>79.5</v>
      </c>
      <c r="H3" s="2"/>
      <c r="I3" s="3"/>
      <c r="J3" s="2"/>
      <c r="K3" s="2"/>
      <c r="L3" s="4"/>
      <c r="M3" s="2"/>
      <c r="N3" s="4"/>
    </row>
    <row r="4" spans="1:14" ht="15.75" customHeight="1">
      <c r="A4" s="89" t="s">
        <v>140</v>
      </c>
      <c r="B4" s="89" t="s">
        <v>60</v>
      </c>
      <c r="C4" s="89" t="s">
        <v>10</v>
      </c>
      <c r="D4" s="89" t="s">
        <v>11</v>
      </c>
      <c r="E4" s="89" t="s">
        <v>61</v>
      </c>
      <c r="F4" s="89" t="s">
        <v>12</v>
      </c>
      <c r="G4" s="89">
        <v>88.5</v>
      </c>
      <c r="H4" s="2"/>
      <c r="I4" s="3"/>
      <c r="J4" s="2"/>
      <c r="K4" s="2"/>
      <c r="L4" s="4"/>
      <c r="M4" s="2"/>
      <c r="N4" s="4"/>
    </row>
    <row r="5" spans="1:14" ht="15.75" customHeight="1">
      <c r="A5" s="89" t="s">
        <v>132</v>
      </c>
      <c r="B5" s="89" t="s">
        <v>60</v>
      </c>
      <c r="C5" s="89" t="s">
        <v>10</v>
      </c>
      <c r="D5" s="89" t="s">
        <v>11</v>
      </c>
      <c r="E5" s="89" t="s">
        <v>61</v>
      </c>
      <c r="F5" s="89" t="s">
        <v>12</v>
      </c>
      <c r="G5" s="89">
        <v>88.5</v>
      </c>
      <c r="H5" s="2"/>
      <c r="I5" s="3"/>
      <c r="J5" s="2"/>
      <c r="K5" s="2"/>
      <c r="L5" s="4"/>
      <c r="M5" s="2"/>
      <c r="N5" s="4"/>
    </row>
    <row r="6" spans="1:14" ht="15.75" customHeight="1">
      <c r="A6" s="89" t="s">
        <v>23</v>
      </c>
      <c r="B6" s="89" t="s">
        <v>59</v>
      </c>
      <c r="C6" s="89" t="s">
        <v>10</v>
      </c>
      <c r="D6" s="89" t="s">
        <v>11</v>
      </c>
      <c r="E6" s="89">
        <v>15.03</v>
      </c>
      <c r="F6" s="89" t="s">
        <v>12</v>
      </c>
      <c r="G6" s="89">
        <v>80.5</v>
      </c>
      <c r="H6" s="2"/>
      <c r="I6" s="3"/>
      <c r="J6" s="2"/>
      <c r="K6" s="2"/>
      <c r="L6" s="4"/>
      <c r="M6" s="2"/>
      <c r="N6" s="4"/>
    </row>
    <row r="7" spans="1:14" ht="15.75" customHeight="1">
      <c r="A7" s="89" t="s">
        <v>24</v>
      </c>
      <c r="B7" s="89" t="s">
        <v>59</v>
      </c>
      <c r="C7" s="89" t="s">
        <v>10</v>
      </c>
      <c r="D7" s="89" t="s">
        <v>11</v>
      </c>
      <c r="E7" s="89">
        <v>24.21</v>
      </c>
      <c r="F7" s="89" t="s">
        <v>12</v>
      </c>
      <c r="G7" s="89">
        <v>81</v>
      </c>
      <c r="H7" s="2"/>
      <c r="I7" s="3"/>
      <c r="J7" s="2"/>
      <c r="K7" s="2"/>
      <c r="L7" s="4"/>
      <c r="M7" s="2"/>
      <c r="N7" s="4"/>
    </row>
    <row r="8" spans="1:14" ht="15.75" customHeight="1">
      <c r="A8" s="89" t="s">
        <v>27</v>
      </c>
      <c r="B8" s="89" t="s">
        <v>59</v>
      </c>
      <c r="C8" s="89" t="s">
        <v>10</v>
      </c>
      <c r="D8" s="89" t="s">
        <v>11</v>
      </c>
      <c r="E8" s="89">
        <v>11.64</v>
      </c>
      <c r="F8" s="89" t="s">
        <v>12</v>
      </c>
      <c r="G8" s="89">
        <v>80.5</v>
      </c>
      <c r="H8" s="2"/>
      <c r="J8" s="2"/>
      <c r="K8" s="2"/>
      <c r="L8" s="4"/>
      <c r="M8" s="2"/>
      <c r="N8" s="4"/>
    </row>
    <row r="9" spans="1:14" ht="15.75" customHeight="1">
      <c r="A9" s="89" t="s">
        <v>28</v>
      </c>
      <c r="B9" s="89" t="s">
        <v>59</v>
      </c>
      <c r="C9" s="89" t="s">
        <v>10</v>
      </c>
      <c r="D9" s="89" t="s">
        <v>11</v>
      </c>
      <c r="E9" s="89">
        <v>20.41</v>
      </c>
      <c r="F9" s="89" t="s">
        <v>12</v>
      </c>
      <c r="G9" s="89">
        <v>81</v>
      </c>
      <c r="H9" s="2"/>
      <c r="I9" s="3"/>
      <c r="J9" s="2"/>
      <c r="K9" s="2"/>
      <c r="L9" s="4"/>
      <c r="M9" s="2"/>
      <c r="N9" s="4"/>
    </row>
    <row r="10" spans="1:14" ht="15.75" customHeight="1">
      <c r="A10" s="89" t="s">
        <v>112</v>
      </c>
      <c r="B10" s="89" t="s">
        <v>59</v>
      </c>
      <c r="C10" s="89" t="s">
        <v>10</v>
      </c>
      <c r="D10" s="89" t="s">
        <v>11</v>
      </c>
      <c r="E10" s="89">
        <v>11.72</v>
      </c>
      <c r="F10" s="89" t="s">
        <v>12</v>
      </c>
      <c r="G10" s="89">
        <v>80</v>
      </c>
      <c r="H10" s="2"/>
      <c r="J10" s="2"/>
      <c r="K10" s="2"/>
      <c r="L10" s="4"/>
      <c r="M10" s="2"/>
      <c r="N10" s="4"/>
    </row>
    <row r="11" spans="1:14" ht="15.75" customHeight="1">
      <c r="A11" s="89" t="s">
        <v>62</v>
      </c>
      <c r="B11" s="89" t="s">
        <v>59</v>
      </c>
      <c r="C11" s="89" t="s">
        <v>10</v>
      </c>
      <c r="D11" s="89" t="s">
        <v>11</v>
      </c>
      <c r="E11" s="89">
        <v>19.8</v>
      </c>
      <c r="F11" s="89" t="s">
        <v>12</v>
      </c>
      <c r="G11" s="89">
        <v>81</v>
      </c>
      <c r="H11" s="2"/>
      <c r="I11" s="3"/>
      <c r="J11" s="2"/>
      <c r="K11" s="2"/>
      <c r="L11" s="4"/>
      <c r="M11" s="2"/>
      <c r="N11" s="4"/>
    </row>
    <row r="12" spans="1:14" ht="15.75" customHeight="1">
      <c r="A12" s="87"/>
      <c r="B12" s="87"/>
      <c r="C12" s="87"/>
      <c r="D12" s="87"/>
      <c r="E12" s="87"/>
      <c r="F12" s="87"/>
      <c r="G12" s="87"/>
      <c r="H12" s="2"/>
      <c r="J12" s="2"/>
      <c r="K12" s="2"/>
      <c r="L12" s="4"/>
      <c r="M12" s="2"/>
      <c r="N12" s="4"/>
    </row>
    <row r="13" spans="1:14" ht="14.4">
      <c r="A13" s="87"/>
      <c r="B13" s="87"/>
      <c r="C13" s="87"/>
      <c r="D13" s="87"/>
      <c r="E13" s="87"/>
      <c r="F13" s="87"/>
      <c r="G13" s="87"/>
      <c r="H13" s="2"/>
      <c r="I13" s="3"/>
      <c r="J13" s="2"/>
      <c r="K13" s="2"/>
      <c r="L13" s="4"/>
      <c r="M13" s="2"/>
      <c r="N13" s="4"/>
    </row>
    <row r="14" spans="1:14" ht="14.4">
      <c r="A14" s="87"/>
      <c r="B14" s="87"/>
      <c r="C14" s="87"/>
      <c r="D14" s="87"/>
      <c r="E14" s="87"/>
      <c r="F14" s="87"/>
      <c r="G14" s="87"/>
      <c r="H14" s="2"/>
      <c r="I14" s="3"/>
      <c r="J14" s="2"/>
      <c r="K14" s="2"/>
      <c r="L14" s="4"/>
      <c r="M14" s="2"/>
      <c r="N14" s="4"/>
    </row>
    <row r="15" spans="1:14" ht="14.4">
      <c r="A15" s="87"/>
      <c r="B15" s="87"/>
      <c r="C15" s="87"/>
      <c r="D15" s="87"/>
      <c r="E15" s="87"/>
      <c r="F15" s="87"/>
      <c r="G15" s="87"/>
      <c r="H15" s="2"/>
      <c r="I15" s="3"/>
      <c r="J15" s="2"/>
      <c r="K15" s="2"/>
      <c r="L15" s="4"/>
      <c r="M15" s="2"/>
      <c r="N15" s="4"/>
    </row>
    <row r="16" spans="1:14" ht="14.4">
      <c r="A16" s="87"/>
      <c r="B16" s="87"/>
      <c r="C16" s="87"/>
      <c r="D16" s="87"/>
      <c r="E16" s="87"/>
      <c r="F16" s="87"/>
      <c r="G16" s="87"/>
      <c r="H16" s="2"/>
      <c r="J16" s="2"/>
      <c r="K16" s="2"/>
      <c r="L16" s="4"/>
      <c r="M16" s="2"/>
      <c r="N16" s="4"/>
    </row>
    <row r="17" spans="1:14" ht="14.4">
      <c r="A17" s="87"/>
      <c r="B17" s="87"/>
      <c r="C17" s="87"/>
      <c r="D17" s="87"/>
      <c r="E17" s="87"/>
      <c r="F17" s="87"/>
      <c r="G17" s="87"/>
      <c r="H17" s="2"/>
      <c r="I17" s="3"/>
      <c r="J17" s="2"/>
      <c r="K17" s="2"/>
      <c r="L17" s="4"/>
      <c r="M17" s="2"/>
      <c r="N17" s="4"/>
    </row>
    <row r="18" spans="1:14" ht="14.4">
      <c r="A18" s="87"/>
      <c r="B18" s="87"/>
      <c r="C18" s="87"/>
      <c r="D18" s="87"/>
      <c r="E18" s="87"/>
      <c r="F18" s="87"/>
      <c r="G18" s="87"/>
      <c r="H18" s="2"/>
      <c r="J18" s="2"/>
      <c r="K18" s="2"/>
      <c r="L18" s="4"/>
      <c r="M18" s="2"/>
      <c r="N18" s="4"/>
    </row>
    <row r="19" spans="1:14" ht="14.4">
      <c r="A19" s="87"/>
      <c r="B19" s="87"/>
      <c r="C19" s="87"/>
      <c r="D19" s="87"/>
      <c r="E19" s="87"/>
      <c r="F19" s="87"/>
      <c r="G19" s="87"/>
      <c r="H19" s="2"/>
      <c r="I19" s="3"/>
      <c r="J19" s="2"/>
      <c r="K19" s="2"/>
      <c r="L19" s="4"/>
      <c r="M19" s="2"/>
      <c r="N19" s="4"/>
    </row>
    <row r="20" spans="1:14" ht="14.4">
      <c r="A20" s="87"/>
      <c r="B20" s="87"/>
      <c r="C20" s="87"/>
      <c r="D20" s="87"/>
      <c r="E20" s="87"/>
      <c r="F20" s="87"/>
      <c r="G20" s="87"/>
      <c r="H20" s="2"/>
      <c r="J20" s="2"/>
      <c r="K20" s="2"/>
      <c r="L20" s="4"/>
      <c r="M20" s="2"/>
      <c r="N20" s="4"/>
    </row>
    <row r="21" spans="1:14" ht="14.4">
      <c r="A21" s="87"/>
      <c r="B21" s="87"/>
      <c r="C21" s="87"/>
      <c r="D21" s="87"/>
      <c r="E21" s="87"/>
      <c r="F21" s="87"/>
      <c r="G21" s="87"/>
      <c r="H21" s="2"/>
      <c r="I21" s="3"/>
      <c r="J21" s="2"/>
      <c r="K21" s="2"/>
      <c r="L21" s="4"/>
      <c r="M21" s="2"/>
      <c r="N21" s="4"/>
    </row>
    <row r="22" spans="1:14" ht="14.4">
      <c r="A22" s="87"/>
      <c r="B22" s="87"/>
      <c r="C22" s="87"/>
      <c r="D22" s="87"/>
      <c r="E22" s="87"/>
      <c r="F22" s="87"/>
      <c r="G22" s="87"/>
      <c r="H22" s="2"/>
      <c r="J22" s="2"/>
      <c r="K22" s="2"/>
      <c r="L22" s="4"/>
      <c r="M22" s="2"/>
      <c r="N22" s="4"/>
    </row>
    <row r="23" spans="1:14" ht="14.4">
      <c r="A23" s="87"/>
      <c r="B23" s="87"/>
      <c r="C23" s="87"/>
      <c r="D23" s="87"/>
      <c r="E23" s="87"/>
      <c r="F23" s="87"/>
      <c r="G23" s="87"/>
      <c r="H23" s="2"/>
      <c r="I23" s="3"/>
      <c r="J23" s="2"/>
      <c r="K23" s="2"/>
      <c r="L23" s="4"/>
      <c r="M23" s="2"/>
      <c r="N23" s="4"/>
    </row>
    <row r="24" spans="1:14" ht="14.4">
      <c r="A24" s="87"/>
      <c r="B24" s="87"/>
      <c r="C24" s="87"/>
      <c r="D24" s="87"/>
      <c r="E24" s="87"/>
      <c r="F24" s="87"/>
      <c r="G24" s="87"/>
      <c r="H24" s="2"/>
      <c r="I24" s="3"/>
      <c r="J24" s="2"/>
      <c r="K24" s="2"/>
      <c r="L24" s="4"/>
      <c r="M24" s="2"/>
      <c r="N24" s="4"/>
    </row>
    <row r="25" spans="1:14" ht="14.4">
      <c r="A25" s="87"/>
      <c r="B25" s="87"/>
      <c r="C25" s="87"/>
      <c r="D25" s="87"/>
      <c r="E25" s="87"/>
      <c r="F25" s="87"/>
      <c r="G25" s="87"/>
      <c r="H25" s="2"/>
      <c r="I25" s="3"/>
      <c r="J25" s="2"/>
      <c r="K25" s="2"/>
      <c r="L25" s="4"/>
      <c r="M25" s="2"/>
      <c r="N25" s="4"/>
    </row>
    <row r="26" spans="1:14" ht="14.4">
      <c r="A26" s="28"/>
      <c r="B26" s="28"/>
      <c r="C26" s="28"/>
      <c r="D26" s="28"/>
      <c r="E26" s="28"/>
      <c r="F26" s="28"/>
      <c r="G26" s="28"/>
      <c r="H26" s="2"/>
      <c r="J26" s="2"/>
      <c r="K26" s="2"/>
      <c r="L26" s="4"/>
      <c r="M26" s="2"/>
      <c r="N26" s="4"/>
    </row>
    <row r="27" spans="1:14" ht="14.4">
      <c r="A27" s="28"/>
      <c r="B27" s="28"/>
      <c r="C27" s="28"/>
      <c r="D27" s="28"/>
      <c r="E27" s="28"/>
      <c r="F27" s="28"/>
      <c r="G27" s="28"/>
      <c r="H27" s="2"/>
      <c r="I27" s="3"/>
      <c r="J27" s="2"/>
      <c r="K27" s="2"/>
      <c r="L27" s="4"/>
      <c r="M27" s="2"/>
      <c r="N27" s="4"/>
    </row>
    <row r="28" spans="1:14" ht="14.4">
      <c r="A28" s="2"/>
      <c r="B28" s="3"/>
      <c r="C28" s="2"/>
      <c r="D28" s="2"/>
      <c r="E28" s="4"/>
      <c r="F28" s="2"/>
      <c r="G28" s="4"/>
      <c r="H28" s="2"/>
      <c r="J28" s="2"/>
      <c r="K28" s="2"/>
      <c r="L28" s="4"/>
      <c r="M28" s="2"/>
      <c r="N28" s="4"/>
    </row>
    <row r="29" spans="1:14" ht="14.4">
      <c r="A29" s="2"/>
      <c r="B29" s="5"/>
      <c r="C29" s="2"/>
      <c r="D29" s="2"/>
      <c r="E29" s="4"/>
      <c r="F29" s="2"/>
      <c r="G29" s="4"/>
      <c r="H29" s="2"/>
      <c r="I29" s="3"/>
      <c r="J29" s="2"/>
      <c r="K29" s="2"/>
      <c r="L29" s="4"/>
      <c r="M29" s="2"/>
      <c r="N29" s="4"/>
    </row>
    <row r="30" spans="1:14" ht="14.4">
      <c r="A30" s="2"/>
      <c r="B30" s="3"/>
      <c r="C30" s="2"/>
      <c r="D30" s="2"/>
      <c r="E30" s="4"/>
      <c r="F30" s="2"/>
      <c r="G30" s="4"/>
      <c r="H30" s="2"/>
      <c r="J30" s="2"/>
      <c r="K30" s="2"/>
      <c r="L30" s="4"/>
      <c r="M30" s="2"/>
      <c r="N30" s="4"/>
    </row>
    <row r="31" spans="1:14" ht="14.4">
      <c r="A31" s="2"/>
      <c r="B31" s="5"/>
      <c r="C31" s="2"/>
      <c r="D31" s="2"/>
      <c r="E31" s="4"/>
      <c r="F31" s="2"/>
      <c r="G31" s="4"/>
      <c r="H31" s="2"/>
      <c r="I31" s="3"/>
      <c r="J31" s="2"/>
      <c r="K31" s="2"/>
      <c r="L31" s="4"/>
      <c r="M31" s="2"/>
      <c r="N31" s="4"/>
    </row>
    <row r="32" spans="1:14" ht="14.4">
      <c r="A32" s="2"/>
      <c r="B32" s="3"/>
      <c r="C32" s="2"/>
      <c r="D32" s="2"/>
      <c r="E32" s="4"/>
      <c r="F32" s="2"/>
      <c r="G32" s="4"/>
      <c r="H32" s="2"/>
      <c r="J32" s="2"/>
      <c r="K32" s="2"/>
      <c r="L32" s="4"/>
      <c r="M32" s="2"/>
      <c r="N32" s="4"/>
    </row>
    <row r="33" spans="1:14" ht="14.4">
      <c r="A33" s="2"/>
      <c r="B33" s="5"/>
      <c r="C33" s="2"/>
      <c r="D33" s="2"/>
      <c r="E33" s="4"/>
      <c r="F33" s="2"/>
      <c r="G33" s="4"/>
      <c r="H33" s="2"/>
      <c r="I33" s="3"/>
      <c r="J33" s="2"/>
      <c r="K33" s="2"/>
      <c r="L33" s="4"/>
      <c r="M33" s="2"/>
      <c r="N33" s="4"/>
    </row>
    <row r="34" spans="1:14" ht="14.4">
      <c r="A34" s="2"/>
      <c r="B34" s="3"/>
      <c r="C34" s="2"/>
      <c r="D34" s="2"/>
      <c r="E34" s="4"/>
      <c r="F34" s="2"/>
      <c r="G34" s="4"/>
      <c r="H34" s="2"/>
      <c r="J34" s="2"/>
      <c r="K34" s="2"/>
      <c r="L34" s="4"/>
      <c r="M34" s="2"/>
      <c r="N34" s="4"/>
    </row>
    <row r="35" spans="1:14" ht="14.4">
      <c r="A35" s="2"/>
      <c r="B35" s="5"/>
      <c r="C35" s="2"/>
      <c r="D35" s="2"/>
      <c r="E35" s="4"/>
      <c r="F35" s="2"/>
      <c r="G35" s="4"/>
      <c r="H35" s="2"/>
      <c r="I35" s="3"/>
      <c r="J35" s="2"/>
      <c r="K35" s="2"/>
      <c r="L35" s="4"/>
      <c r="M35" s="2"/>
      <c r="N35" s="4"/>
    </row>
    <row r="36" spans="1:14" ht="14.4">
      <c r="A36" s="2"/>
      <c r="B36" s="3"/>
      <c r="C36" s="2"/>
      <c r="D36" s="2"/>
      <c r="E36" s="4"/>
      <c r="F36" s="2"/>
      <c r="G36" s="4"/>
      <c r="H36" s="2"/>
      <c r="J36" s="2"/>
      <c r="K36" s="2"/>
      <c r="L36" s="4"/>
      <c r="M36" s="2"/>
      <c r="N36" s="4"/>
    </row>
    <row r="37" spans="1:14" ht="14.4">
      <c r="A37" s="2"/>
      <c r="B37" s="5"/>
      <c r="C37" s="2"/>
      <c r="D37" s="2"/>
      <c r="E37" s="4"/>
      <c r="F37" s="2"/>
      <c r="G37" s="4"/>
      <c r="H37" s="2"/>
      <c r="I37" s="3"/>
      <c r="J37" s="2"/>
      <c r="K37" s="2"/>
      <c r="L37" s="4"/>
      <c r="M37" s="2"/>
      <c r="N37" s="4"/>
    </row>
    <row r="38" spans="1:14" ht="14.4">
      <c r="A38" s="2"/>
      <c r="B38" s="3"/>
      <c r="C38" s="2"/>
      <c r="D38" s="2"/>
      <c r="E38" s="4"/>
      <c r="F38" s="2"/>
      <c r="G38" s="4"/>
      <c r="H38" s="2"/>
      <c r="J38" s="2"/>
      <c r="K38" s="2"/>
      <c r="L38" s="4"/>
      <c r="M38" s="2"/>
      <c r="N38" s="4"/>
    </row>
    <row r="39" spans="1:14" ht="14.4">
      <c r="A39" s="2"/>
      <c r="B39" s="5"/>
      <c r="C39" s="2"/>
      <c r="D39" s="2"/>
      <c r="E39" s="4"/>
      <c r="F39" s="2"/>
      <c r="G39" s="4"/>
      <c r="H39" s="2"/>
      <c r="I39" s="3"/>
      <c r="J39" s="2"/>
      <c r="K39" s="2"/>
      <c r="L39" s="4"/>
      <c r="M39" s="2"/>
      <c r="N39" s="4"/>
    </row>
    <row r="40" spans="1:14" ht="14.4">
      <c r="A40" s="2"/>
      <c r="B40" s="3"/>
      <c r="C40" s="2"/>
      <c r="D40" s="2"/>
      <c r="E40" s="4"/>
      <c r="F40" s="2"/>
      <c r="G40" s="4"/>
      <c r="H40" s="2"/>
      <c r="J40" s="2"/>
      <c r="K40" s="2"/>
      <c r="L40" s="4"/>
      <c r="M40" s="2"/>
      <c r="N40" s="4"/>
    </row>
    <row r="41" spans="1:14" ht="14.4">
      <c r="A41" s="2"/>
      <c r="B41" s="5"/>
      <c r="C41" s="2"/>
      <c r="D41" s="2"/>
      <c r="E41" s="4"/>
      <c r="F41" s="2"/>
      <c r="G41" s="4"/>
      <c r="H41" s="2"/>
      <c r="I41" s="3"/>
      <c r="J41" s="2"/>
      <c r="K41" s="2"/>
      <c r="L41" s="4"/>
      <c r="M41" s="2"/>
      <c r="N41" s="4"/>
    </row>
    <row r="42" spans="1:14" ht="14.4">
      <c r="A42" s="2"/>
      <c r="B42" s="3"/>
      <c r="C42" s="2"/>
      <c r="D42" s="2"/>
      <c r="E42" s="4"/>
      <c r="F42" s="2"/>
      <c r="G42" s="4"/>
      <c r="H42" s="2"/>
      <c r="J42" s="2"/>
      <c r="K42" s="2"/>
      <c r="L42" s="4"/>
      <c r="M42" s="2"/>
      <c r="N42" s="4"/>
    </row>
    <row r="43" spans="1:14" ht="14.4">
      <c r="A43" s="2"/>
      <c r="B43" s="5"/>
      <c r="C43" s="2"/>
      <c r="D43" s="2"/>
      <c r="E43" s="4"/>
      <c r="F43" s="2"/>
      <c r="G43" s="4"/>
      <c r="H43" s="2"/>
      <c r="I43" s="3"/>
      <c r="J43" s="2"/>
      <c r="K43" s="2"/>
      <c r="L43" s="4"/>
      <c r="M43" s="2"/>
      <c r="N43" s="4"/>
    </row>
    <row r="44" spans="1:14" ht="14.4">
      <c r="A44" s="2"/>
      <c r="B44" s="3"/>
      <c r="C44" s="2"/>
      <c r="D44" s="2"/>
      <c r="E44" s="4"/>
      <c r="F44" s="2"/>
      <c r="G44" s="4"/>
      <c r="H44" s="2"/>
      <c r="J44" s="2"/>
      <c r="K44" s="2"/>
      <c r="L44" s="4"/>
      <c r="M44" s="2"/>
      <c r="N44" s="4"/>
    </row>
    <row r="45" spans="1:14" ht="14.4">
      <c r="A45" s="2"/>
      <c r="B45" s="5"/>
      <c r="C45" s="2"/>
      <c r="D45" s="2"/>
      <c r="E45" s="4"/>
      <c r="F45" s="2"/>
      <c r="G45" s="4"/>
      <c r="H45" s="2"/>
      <c r="I45" s="3"/>
      <c r="J45" s="2"/>
      <c r="K45" s="2"/>
      <c r="L45" s="4"/>
      <c r="M45" s="2"/>
      <c r="N45" s="4"/>
    </row>
    <row r="46" spans="1:14" ht="14.4">
      <c r="A46" s="2"/>
      <c r="B46" s="3"/>
      <c r="C46" s="2"/>
      <c r="D46" s="2"/>
      <c r="E46" s="4"/>
      <c r="F46" s="2"/>
      <c r="G46" s="4"/>
      <c r="H46" s="2"/>
      <c r="J46" s="2"/>
      <c r="K46" s="2"/>
      <c r="L46" s="4"/>
      <c r="M46" s="2"/>
      <c r="N46" s="4"/>
    </row>
    <row r="47" spans="1:14" ht="14.4">
      <c r="A47" s="2"/>
      <c r="B47" s="5"/>
      <c r="C47" s="2"/>
      <c r="D47" s="2"/>
      <c r="E47" s="4"/>
      <c r="F47" s="2"/>
      <c r="G47" s="4"/>
      <c r="H47" s="2"/>
      <c r="I47" s="3"/>
      <c r="J47" s="2"/>
      <c r="K47" s="2"/>
      <c r="L47" s="4"/>
      <c r="M47" s="2"/>
      <c r="N47" s="4"/>
    </row>
    <row r="48" spans="1:14" ht="14.4">
      <c r="A48" s="2"/>
      <c r="B48" s="3"/>
      <c r="C48" s="2"/>
      <c r="D48" s="2"/>
      <c r="E48" s="4"/>
      <c r="F48" s="2"/>
      <c r="G48" s="4"/>
      <c r="H48" s="2"/>
      <c r="J48" s="2"/>
      <c r="K48" s="2"/>
      <c r="L48" s="4"/>
      <c r="M48" s="2"/>
      <c r="N48" s="4"/>
    </row>
    <row r="49" spans="1:14" ht="14.4">
      <c r="A49" s="2"/>
      <c r="B49" s="5"/>
      <c r="C49" s="2"/>
      <c r="D49" s="2"/>
      <c r="E49" s="4"/>
      <c r="F49" s="2"/>
      <c r="G49" s="4"/>
      <c r="H49" s="2"/>
      <c r="I49" s="3"/>
      <c r="J49" s="2"/>
      <c r="K49" s="2"/>
      <c r="L49" s="4"/>
      <c r="M49" s="2"/>
      <c r="N49" s="4"/>
    </row>
    <row r="50" spans="1:14" ht="14.4">
      <c r="A50" s="2"/>
      <c r="B50" s="3"/>
      <c r="C50" s="2"/>
      <c r="D50" s="2"/>
      <c r="E50" s="4"/>
      <c r="F50" s="2"/>
      <c r="G50" s="4"/>
      <c r="H50" s="2"/>
      <c r="J50" s="2"/>
      <c r="K50" s="2"/>
      <c r="L50" s="2"/>
      <c r="M50" s="2"/>
      <c r="N50" s="4"/>
    </row>
    <row r="51" spans="1:14" ht="14.4">
      <c r="A51" s="2"/>
      <c r="B51" s="5"/>
      <c r="C51" s="2"/>
      <c r="D51" s="2"/>
      <c r="E51" s="2"/>
      <c r="F51" s="2"/>
      <c r="G51" s="4"/>
      <c r="H51" s="2"/>
      <c r="I51" s="3"/>
      <c r="J51" s="2"/>
      <c r="K51" s="2"/>
      <c r="L51" s="4"/>
      <c r="M51" s="2"/>
      <c r="N51" s="4"/>
    </row>
    <row r="52" spans="1:14" ht="14.4">
      <c r="A52" s="2"/>
      <c r="B52" s="3"/>
      <c r="C52" s="2"/>
      <c r="D52" s="2"/>
      <c r="E52" s="4"/>
      <c r="F52" s="2"/>
      <c r="G52" s="4"/>
      <c r="H52" s="2"/>
      <c r="J52" s="2"/>
      <c r="K52" s="2"/>
      <c r="L52" s="4"/>
      <c r="M52" s="2"/>
      <c r="N52" s="4"/>
    </row>
    <row r="53" spans="1:14" ht="14.4">
      <c r="A53" s="2"/>
      <c r="B53" s="5"/>
      <c r="C53" s="2"/>
      <c r="D53" s="2"/>
      <c r="E53" s="4"/>
      <c r="F53" s="2"/>
      <c r="G53" s="4"/>
      <c r="H53" s="2"/>
      <c r="I53" s="3"/>
      <c r="J53" s="2"/>
      <c r="K53" s="2"/>
      <c r="L53" s="4"/>
      <c r="M53" s="2"/>
      <c r="N53" s="4"/>
    </row>
    <row r="54" spans="1:14" ht="14.4">
      <c r="A54" s="2"/>
      <c r="B54" s="3"/>
      <c r="C54" s="2"/>
      <c r="D54" s="2"/>
      <c r="E54" s="4"/>
      <c r="F54" s="2"/>
      <c r="G54" s="4"/>
      <c r="H54" s="2"/>
      <c r="J54" s="2"/>
      <c r="K54" s="2"/>
      <c r="L54" s="4"/>
      <c r="M54" s="2"/>
      <c r="N54" s="4"/>
    </row>
    <row r="55" spans="1:14" ht="14.4">
      <c r="A55" s="2"/>
      <c r="B55" s="5"/>
      <c r="C55" s="2"/>
      <c r="D55" s="2"/>
      <c r="E55" s="4"/>
      <c r="F55" s="2"/>
      <c r="G55" s="4"/>
      <c r="H55" s="2"/>
      <c r="I55" s="3"/>
      <c r="J55" s="2"/>
      <c r="K55" s="2"/>
      <c r="L55" s="4"/>
      <c r="M55" s="2"/>
      <c r="N55" s="4"/>
    </row>
    <row r="56" spans="1:14" ht="14.4">
      <c r="A56" s="2"/>
      <c r="B56" s="3"/>
      <c r="C56" s="2"/>
      <c r="D56" s="2"/>
      <c r="E56" s="4"/>
      <c r="F56" s="2"/>
      <c r="G56" s="4"/>
      <c r="H56" s="2"/>
      <c r="I56" s="3"/>
      <c r="J56" s="2"/>
      <c r="K56" s="2"/>
      <c r="L56" s="4"/>
      <c r="M56" s="2"/>
      <c r="N56" s="4"/>
    </row>
    <row r="57" spans="1:14" ht="14.4">
      <c r="A57" s="2"/>
      <c r="B57" s="3"/>
      <c r="C57" s="2"/>
      <c r="D57" s="2"/>
      <c r="E57" s="4"/>
      <c r="F57" s="2"/>
      <c r="G57" s="4"/>
      <c r="H57" s="2"/>
      <c r="I57" s="3"/>
      <c r="J57" s="2"/>
      <c r="K57" s="2"/>
      <c r="L57" s="4"/>
      <c r="M57" s="2"/>
      <c r="N57" s="4"/>
    </row>
    <row r="58" spans="1:14" ht="14.4">
      <c r="A58" s="2"/>
      <c r="B58" s="3"/>
      <c r="C58" s="2"/>
      <c r="D58" s="2"/>
      <c r="E58" s="4"/>
      <c r="F58" s="2"/>
      <c r="G58" s="4"/>
      <c r="H58" s="2"/>
      <c r="I58" s="3"/>
      <c r="J58" s="2"/>
      <c r="K58" s="2"/>
      <c r="L58" s="4"/>
      <c r="M58" s="2"/>
      <c r="N58" s="4"/>
    </row>
    <row r="59" spans="1:14" ht="14.4">
      <c r="A59" s="2"/>
      <c r="B59" s="3"/>
      <c r="C59" s="2"/>
      <c r="D59" s="2"/>
      <c r="E59" s="4"/>
      <c r="F59" s="2"/>
      <c r="G59" s="4"/>
      <c r="H59" s="2"/>
      <c r="I59" s="3"/>
      <c r="J59" s="2"/>
      <c r="K59" s="2"/>
      <c r="L59" s="4"/>
      <c r="M59" s="2"/>
      <c r="N59" s="4"/>
    </row>
    <row r="60" spans="1:14" ht="14.4">
      <c r="A60" s="2"/>
      <c r="B60" s="3"/>
      <c r="C60" s="2"/>
      <c r="D60" s="2"/>
      <c r="E60" s="4"/>
      <c r="F60" s="2"/>
      <c r="G60" s="4"/>
      <c r="H60" s="2"/>
      <c r="J60" s="2"/>
      <c r="K60" s="2"/>
      <c r="L60" s="4"/>
      <c r="M60" s="2"/>
      <c r="N60" s="4"/>
    </row>
    <row r="61" spans="1:14" ht="14.4">
      <c r="A61" s="2"/>
      <c r="B61" s="5"/>
      <c r="C61" s="2"/>
      <c r="D61" s="2"/>
      <c r="E61" s="4"/>
      <c r="F61" s="2"/>
      <c r="G61" s="4"/>
      <c r="H61" s="2"/>
      <c r="I61" s="3"/>
      <c r="J61" s="2"/>
      <c r="K61" s="2"/>
      <c r="L61" s="4"/>
      <c r="M61" s="2"/>
      <c r="N61" s="4"/>
    </row>
    <row r="62" spans="1:14" ht="14.4">
      <c r="A62" s="2"/>
      <c r="B62" s="3"/>
      <c r="C62" s="2"/>
      <c r="D62" s="2"/>
      <c r="E62" s="4"/>
      <c r="F62" s="2"/>
      <c r="G62" s="4"/>
      <c r="H62" s="2"/>
      <c r="I62" s="3"/>
      <c r="J62" s="2"/>
      <c r="K62" s="2"/>
      <c r="L62" s="4"/>
      <c r="M62" s="2"/>
      <c r="N62" s="4"/>
    </row>
    <row r="63" spans="1:14" ht="14.4">
      <c r="A63" s="2"/>
      <c r="B63" s="3"/>
      <c r="C63" s="2"/>
      <c r="D63" s="2"/>
      <c r="E63" s="4"/>
      <c r="F63" s="2"/>
      <c r="G63" s="4"/>
      <c r="H63" s="2"/>
      <c r="I63" s="3"/>
      <c r="J63" s="2"/>
      <c r="K63" s="2"/>
      <c r="L63" s="4"/>
      <c r="M63" s="2"/>
      <c r="N63" s="4"/>
    </row>
    <row r="64" spans="1:14" ht="14.4">
      <c r="A64" s="2"/>
      <c r="B64" s="3"/>
      <c r="C64" s="2"/>
      <c r="D64" s="2"/>
      <c r="E64" s="4"/>
      <c r="F64" s="2"/>
      <c r="G64" s="4"/>
      <c r="H64" s="2"/>
      <c r="I64" s="3"/>
      <c r="J64" s="2"/>
      <c r="K64" s="2"/>
      <c r="L64" s="4"/>
      <c r="M64" s="2"/>
      <c r="N64" s="4"/>
    </row>
    <row r="65" spans="1:14" ht="14.4">
      <c r="A65" s="2"/>
      <c r="B65" s="3"/>
      <c r="C65" s="2"/>
      <c r="D65" s="2"/>
      <c r="E65" s="4"/>
      <c r="F65" s="2"/>
      <c r="G65" s="4"/>
      <c r="H65" s="2"/>
      <c r="I65" s="3"/>
      <c r="J65" s="2"/>
      <c r="K65" s="2"/>
      <c r="L65" s="4"/>
      <c r="M65" s="2"/>
      <c r="N65" s="4"/>
    </row>
    <row r="66" spans="1:14" ht="14.4">
      <c r="A66" s="2"/>
      <c r="B66" s="3"/>
      <c r="C66" s="2"/>
      <c r="D66" s="2"/>
      <c r="E66" s="4"/>
      <c r="F66" s="2"/>
      <c r="G66" s="4"/>
      <c r="H66" s="2"/>
      <c r="I66" s="3"/>
      <c r="J66" s="2"/>
      <c r="K66" s="2"/>
      <c r="L66" s="4"/>
      <c r="M66" s="2"/>
      <c r="N66" s="4"/>
    </row>
    <row r="67" spans="1:14" ht="14.4">
      <c r="A67" s="2"/>
      <c r="B67" s="3"/>
      <c r="C67" s="2"/>
      <c r="D67" s="2"/>
      <c r="E67" s="4"/>
      <c r="F67" s="2"/>
      <c r="G67" s="4"/>
      <c r="H67" s="2"/>
      <c r="I67" s="3"/>
      <c r="J67" s="2"/>
      <c r="K67" s="2"/>
      <c r="L67" s="4"/>
      <c r="M67" s="2"/>
      <c r="N67" s="4"/>
    </row>
    <row r="68" spans="1:14" ht="14.4">
      <c r="A68" s="2"/>
      <c r="B68" s="3"/>
      <c r="C68" s="2"/>
      <c r="D68" s="2"/>
      <c r="E68" s="4"/>
      <c r="F68" s="2"/>
      <c r="G68" s="4"/>
      <c r="H68" s="2"/>
      <c r="I68" s="3"/>
      <c r="J68" s="2"/>
      <c r="K68" s="2"/>
      <c r="L68" s="4"/>
      <c r="M68" s="2"/>
      <c r="N68" s="4"/>
    </row>
    <row r="69" spans="1:14" ht="14.4">
      <c r="A69" s="2"/>
      <c r="B69" s="3"/>
      <c r="C69" s="2"/>
      <c r="D69" s="2"/>
      <c r="E69" s="4"/>
      <c r="F69" s="2"/>
      <c r="G69" s="4"/>
      <c r="H69" s="2"/>
      <c r="I69" s="3"/>
      <c r="J69" s="2"/>
      <c r="K69" s="2"/>
      <c r="L69" s="4"/>
      <c r="M69" s="2"/>
      <c r="N69" s="4"/>
    </row>
    <row r="70" spans="1:14" ht="14.4">
      <c r="A70" s="2"/>
      <c r="B70" s="3"/>
      <c r="C70" s="2"/>
      <c r="D70" s="2"/>
      <c r="E70" s="4"/>
      <c r="F70" s="2"/>
      <c r="G70" s="4"/>
      <c r="H70" s="2"/>
      <c r="I70" s="3"/>
      <c r="J70" s="2"/>
      <c r="K70" s="2"/>
      <c r="L70" s="4"/>
      <c r="M70" s="2"/>
      <c r="N70" s="4"/>
    </row>
    <row r="71" spans="1:14" ht="14.4">
      <c r="A71" s="2"/>
      <c r="B71" s="3"/>
      <c r="C71" s="2"/>
      <c r="D71" s="2"/>
      <c r="E71" s="4"/>
      <c r="F71" s="2"/>
      <c r="G71" s="4"/>
      <c r="H71" s="2"/>
      <c r="I71" s="3"/>
      <c r="J71" s="2"/>
      <c r="K71" s="2"/>
      <c r="L71" s="4"/>
      <c r="M71" s="2"/>
      <c r="N71" s="4"/>
    </row>
    <row r="72" spans="1:14" ht="14.4">
      <c r="A72" s="2"/>
      <c r="B72" s="3"/>
      <c r="C72" s="2"/>
      <c r="D72" s="2"/>
      <c r="E72" s="4"/>
      <c r="F72" s="2"/>
      <c r="G72" s="4"/>
      <c r="H72" s="2"/>
      <c r="I72" s="3"/>
      <c r="J72" s="2"/>
      <c r="K72" s="2"/>
      <c r="L72" s="4"/>
      <c r="M72" s="2"/>
      <c r="N72" s="4"/>
    </row>
    <row r="73" spans="1:14" ht="14.4">
      <c r="A73" s="2"/>
      <c r="B73" s="3"/>
      <c r="C73" s="2"/>
      <c r="D73" s="2"/>
      <c r="E73" s="4"/>
      <c r="F73" s="2"/>
      <c r="G73" s="4"/>
      <c r="H73" s="2"/>
      <c r="I73" s="3"/>
      <c r="J73" s="2"/>
      <c r="K73" s="2"/>
      <c r="L73" s="4"/>
      <c r="M73" s="2"/>
      <c r="N73" s="4"/>
    </row>
    <row r="74" spans="1:14" ht="14.4">
      <c r="A74" s="2"/>
      <c r="B74" s="3"/>
      <c r="C74" s="2"/>
      <c r="D74" s="2"/>
      <c r="E74" s="4"/>
      <c r="F74" s="2"/>
      <c r="G74" s="4"/>
      <c r="H74" s="2"/>
      <c r="I74" s="3"/>
      <c r="J74" s="2"/>
      <c r="K74" s="2"/>
      <c r="L74" s="4"/>
      <c r="M74" s="2"/>
      <c r="N74" s="4"/>
    </row>
    <row r="75" spans="1:14" ht="14.4">
      <c r="A75" s="2"/>
      <c r="B75" s="3"/>
      <c r="C75" s="2"/>
      <c r="D75" s="2"/>
      <c r="E75" s="4"/>
      <c r="F75" s="2"/>
      <c r="G75" s="4"/>
      <c r="H75" s="2"/>
      <c r="I75" s="3"/>
      <c r="J75" s="2"/>
      <c r="K75" s="2"/>
      <c r="L75" s="4"/>
      <c r="M75" s="2"/>
      <c r="N75" s="4"/>
    </row>
    <row r="76" spans="1:14" ht="14.4">
      <c r="A76" s="2"/>
      <c r="B76" s="3"/>
      <c r="C76" s="2"/>
      <c r="D76" s="2"/>
      <c r="E76" s="4"/>
      <c r="F76" s="2"/>
      <c r="G76" s="4"/>
      <c r="H76" s="2"/>
      <c r="I76" s="3"/>
      <c r="J76" s="2"/>
      <c r="K76" s="2"/>
      <c r="L76" s="4"/>
      <c r="M76" s="2"/>
      <c r="N76" s="4"/>
    </row>
    <row r="77" spans="1:14" ht="14.4">
      <c r="A77" s="2"/>
      <c r="B77" s="3"/>
      <c r="C77" s="2"/>
      <c r="D77" s="2"/>
      <c r="E77" s="4"/>
      <c r="F77" s="2"/>
      <c r="G77" s="4"/>
      <c r="H77" s="2"/>
      <c r="I77" s="3"/>
      <c r="J77" s="2"/>
      <c r="K77" s="2"/>
      <c r="L77" s="4"/>
      <c r="M77" s="2"/>
      <c r="N77" s="4"/>
    </row>
    <row r="78" spans="1:14" ht="14.4">
      <c r="A78" s="2"/>
      <c r="B78" s="3"/>
      <c r="C78" s="2"/>
      <c r="D78" s="2"/>
      <c r="E78" s="4"/>
      <c r="F78" s="2"/>
      <c r="G78" s="4"/>
      <c r="H78" s="2"/>
      <c r="I78" s="3"/>
      <c r="J78" s="2"/>
      <c r="K78" s="2"/>
      <c r="L78" s="4"/>
      <c r="M78" s="2"/>
      <c r="N78" s="4"/>
    </row>
    <row r="79" spans="1:14" ht="14.4">
      <c r="A79" s="2"/>
      <c r="B79" s="3"/>
      <c r="C79" s="2"/>
      <c r="D79" s="2"/>
      <c r="E79" s="4"/>
      <c r="F79" s="2"/>
      <c r="G79" s="4"/>
      <c r="H79" s="2"/>
      <c r="I79" s="3"/>
      <c r="J79" s="2"/>
      <c r="K79" s="2"/>
      <c r="L79" s="4"/>
      <c r="M79" s="2"/>
      <c r="N79" s="4"/>
    </row>
    <row r="80" spans="1:14" ht="14.4">
      <c r="A80" s="2"/>
      <c r="B80" s="3"/>
      <c r="C80" s="2"/>
      <c r="D80" s="2"/>
      <c r="E80" s="4"/>
      <c r="F80" s="2"/>
      <c r="G80" s="4"/>
      <c r="H80" s="2"/>
      <c r="I80" s="3"/>
      <c r="J80" s="2"/>
      <c r="K80" s="2"/>
      <c r="L80" s="4"/>
      <c r="M80" s="2"/>
      <c r="N80" s="4"/>
    </row>
    <row r="81" spans="1:14" ht="14.4">
      <c r="A81" s="2"/>
      <c r="B81" s="3"/>
      <c r="C81" s="2"/>
      <c r="D81" s="2"/>
      <c r="E81" s="4"/>
      <c r="F81" s="2"/>
      <c r="G81" s="4"/>
      <c r="H81" s="2"/>
      <c r="I81" s="3"/>
      <c r="J81" s="2"/>
      <c r="K81" s="2"/>
      <c r="L81" s="4"/>
      <c r="M81" s="2"/>
      <c r="N81" s="4"/>
    </row>
    <row r="82" spans="1:14" ht="14.4">
      <c r="A82" s="2"/>
      <c r="B82" s="3"/>
      <c r="C82" s="2"/>
      <c r="D82" s="2"/>
      <c r="E82" s="4"/>
      <c r="F82" s="2"/>
      <c r="G82" s="4"/>
      <c r="H82" s="2"/>
      <c r="I82" s="3"/>
      <c r="J82" s="2"/>
      <c r="K82" s="2"/>
      <c r="L82" s="4"/>
      <c r="M82" s="2"/>
      <c r="N82" s="4"/>
    </row>
    <row r="83" spans="1:14" ht="14.4">
      <c r="A83" s="2"/>
      <c r="B83" s="3"/>
      <c r="C83" s="2"/>
      <c r="D83" s="2"/>
      <c r="E83" s="4"/>
      <c r="F83" s="2"/>
      <c r="G83" s="4"/>
      <c r="H83" s="2"/>
      <c r="I83" s="3"/>
      <c r="J83" s="2"/>
      <c r="K83" s="2"/>
      <c r="L83" s="4"/>
      <c r="M83" s="2"/>
      <c r="N83" s="4"/>
    </row>
    <row r="84" spans="1:14" ht="14.4">
      <c r="A84" s="2"/>
      <c r="B84" s="3"/>
      <c r="C84" s="2"/>
      <c r="D84" s="2"/>
      <c r="E84" s="4"/>
      <c r="F84" s="2"/>
      <c r="G84" s="4"/>
      <c r="H84" s="2"/>
      <c r="I84" s="3"/>
      <c r="J84" s="2"/>
      <c r="K84" s="2"/>
      <c r="L84" s="4"/>
      <c r="M84" s="2"/>
      <c r="N84" s="4"/>
    </row>
    <row r="85" spans="1:14" ht="14.4">
      <c r="A85" s="2"/>
      <c r="B85" s="3"/>
      <c r="C85" s="2"/>
      <c r="D85" s="2"/>
      <c r="E85" s="4"/>
      <c r="F85" s="2"/>
      <c r="G85" s="4"/>
      <c r="H85" s="2"/>
      <c r="I85" s="3"/>
      <c r="J85" s="2"/>
      <c r="K85" s="2"/>
      <c r="L85" s="4"/>
      <c r="M85" s="2"/>
      <c r="N85" s="4"/>
    </row>
    <row r="86" spans="1:14" ht="14.4">
      <c r="A86" s="2"/>
      <c r="B86" s="3"/>
      <c r="C86" s="2"/>
      <c r="D86" s="2"/>
      <c r="E86" s="4"/>
      <c r="F86" s="2"/>
      <c r="G86" s="4"/>
      <c r="H86" s="2"/>
      <c r="I86" s="3"/>
      <c r="J86" s="2"/>
      <c r="K86" s="2"/>
      <c r="L86" s="4"/>
      <c r="M86" s="2"/>
      <c r="N86" s="4"/>
    </row>
    <row r="87" spans="1:14" ht="14.4">
      <c r="A87" s="2"/>
      <c r="B87" s="3"/>
      <c r="C87" s="2"/>
      <c r="D87" s="2"/>
      <c r="E87" s="4"/>
      <c r="F87" s="2"/>
      <c r="G87" s="4"/>
      <c r="H87" s="2"/>
      <c r="I87" s="3"/>
      <c r="J87" s="2"/>
      <c r="K87" s="2"/>
      <c r="L87" s="4"/>
      <c r="M87" s="2"/>
      <c r="N87" s="4"/>
    </row>
    <row r="88" spans="1:14" ht="14.4">
      <c r="A88" s="2"/>
      <c r="B88" s="3"/>
      <c r="C88" s="2"/>
      <c r="D88" s="2"/>
      <c r="E88" s="4"/>
      <c r="F88" s="2"/>
      <c r="G88" s="4"/>
      <c r="H88" s="2"/>
      <c r="I88" s="3"/>
      <c r="J88" s="2"/>
      <c r="K88" s="2"/>
      <c r="L88" s="2"/>
      <c r="M88" s="2"/>
      <c r="N88" s="4"/>
    </row>
    <row r="89" spans="1:14" ht="14.4">
      <c r="A89" s="2"/>
      <c r="B89" s="3"/>
      <c r="C89" s="2"/>
      <c r="D89" s="2"/>
      <c r="E89" s="2"/>
      <c r="F89" s="2"/>
      <c r="G89" s="4"/>
      <c r="H89" s="2"/>
      <c r="I89" s="3"/>
      <c r="J89" s="2"/>
      <c r="K89" s="2"/>
      <c r="L89" s="4"/>
      <c r="M89" s="2"/>
      <c r="N89" s="4"/>
    </row>
    <row r="90" spans="1:14" ht="14.4">
      <c r="A90" s="2"/>
      <c r="B90" s="3"/>
      <c r="C90" s="2"/>
      <c r="D90" s="2"/>
      <c r="E90" s="4"/>
      <c r="F90" s="2"/>
      <c r="G90" s="4"/>
      <c r="H90" s="2"/>
      <c r="I90" s="3"/>
      <c r="J90" s="2"/>
      <c r="K90" s="2"/>
      <c r="L90" s="4"/>
      <c r="M90" s="2"/>
      <c r="N90" s="4"/>
    </row>
    <row r="91" spans="1:14" ht="14.4">
      <c r="A91" s="2"/>
      <c r="B91" s="3"/>
      <c r="C91" s="2"/>
      <c r="D91" s="2"/>
      <c r="E91" s="4"/>
      <c r="F91" s="2"/>
      <c r="G91" s="4"/>
      <c r="H91" s="2"/>
      <c r="I91" s="3"/>
      <c r="J91" s="2"/>
      <c r="K91" s="2"/>
      <c r="L91" s="4"/>
      <c r="M91" s="2"/>
      <c r="N91" s="4"/>
    </row>
    <row r="92" spans="1:14" ht="14.4">
      <c r="A92" s="2"/>
      <c r="B92" s="3"/>
      <c r="C92" s="2"/>
      <c r="D92" s="2"/>
      <c r="E92" s="4"/>
      <c r="F92" s="2"/>
      <c r="G92" s="4"/>
      <c r="H92" s="2"/>
      <c r="I92" s="3"/>
      <c r="J92" s="2"/>
      <c r="K92" s="2"/>
      <c r="L92" s="4"/>
      <c r="M92" s="2"/>
      <c r="N92" s="4"/>
    </row>
    <row r="93" spans="1:14" ht="14.4">
      <c r="A93" s="2"/>
      <c r="B93" s="3"/>
      <c r="C93" s="2"/>
      <c r="D93" s="2"/>
      <c r="E93" s="4"/>
      <c r="F93" s="2"/>
      <c r="G93" s="4"/>
      <c r="H93" s="2"/>
      <c r="I93" s="3"/>
      <c r="J93" s="2"/>
      <c r="K93" s="2"/>
      <c r="L93" s="4"/>
      <c r="M93" s="2"/>
      <c r="N93" s="4"/>
    </row>
    <row r="94" spans="1:14" ht="14.4">
      <c r="A94" s="2"/>
      <c r="B94" s="3"/>
      <c r="C94" s="2"/>
      <c r="D94" s="2"/>
      <c r="E94" s="4"/>
      <c r="F94" s="2"/>
      <c r="G94" s="4"/>
      <c r="H94" s="2"/>
      <c r="I94" s="3"/>
      <c r="J94" s="2"/>
      <c r="K94" s="2"/>
      <c r="L94" s="4"/>
      <c r="M94" s="2"/>
      <c r="N94" s="4"/>
    </row>
    <row r="95" spans="1:14" ht="14.4">
      <c r="A95" s="2"/>
      <c r="B95" s="3"/>
      <c r="C95" s="2"/>
      <c r="D95" s="2"/>
      <c r="E95" s="4"/>
      <c r="F95" s="2"/>
      <c r="G95" s="4"/>
      <c r="H95" s="2"/>
      <c r="I95" s="3"/>
      <c r="J95" s="2"/>
      <c r="K95" s="2"/>
      <c r="L95" s="4"/>
      <c r="M95" s="2"/>
      <c r="N95" s="4"/>
    </row>
    <row r="96" spans="1:14" ht="14.4">
      <c r="A96" s="2"/>
      <c r="B96" s="3"/>
      <c r="C96" s="2"/>
      <c r="D96" s="2"/>
      <c r="E96" s="4"/>
      <c r="F96" s="2"/>
      <c r="G96" s="4"/>
      <c r="H96" s="2"/>
      <c r="I96" s="3"/>
      <c r="J96" s="2"/>
      <c r="K96" s="2"/>
      <c r="L96" s="4"/>
      <c r="M96" s="2"/>
      <c r="N96" s="4"/>
    </row>
    <row r="97" spans="1:7" ht="14.4">
      <c r="A97" s="2"/>
      <c r="B97" s="3"/>
      <c r="C97" s="2"/>
      <c r="D97" s="2"/>
      <c r="E97" s="4"/>
      <c r="F97" s="2"/>
      <c r="G97" s="4"/>
    </row>
    <row r="98" spans="1:7" ht="14.4">
      <c r="A98" s="2"/>
      <c r="B98" s="3"/>
      <c r="C98" s="2"/>
      <c r="D98" s="2"/>
      <c r="E98" s="2"/>
      <c r="F98" s="2"/>
      <c r="G98" s="4"/>
    </row>
    <row r="99" spans="1:7" ht="14.4">
      <c r="A99" s="2"/>
      <c r="B99" s="3"/>
      <c r="C99" s="2"/>
      <c r="D99" s="2"/>
      <c r="E99" s="4"/>
      <c r="F99" s="2"/>
      <c r="G99" s="4"/>
    </row>
    <row r="100" spans="1:7" ht="14.4">
      <c r="A100" s="2"/>
      <c r="C100" s="2"/>
      <c r="D100" s="2"/>
      <c r="E100" s="4"/>
      <c r="F100" s="2"/>
      <c r="G100" s="4"/>
    </row>
    <row r="101" spans="1:7" ht="14.4">
      <c r="A101" s="2"/>
      <c r="B101" s="3"/>
      <c r="C101" s="2"/>
      <c r="D101" s="2"/>
      <c r="E101" s="4"/>
      <c r="F101" s="2"/>
      <c r="G101" s="4"/>
    </row>
    <row r="102" spans="1:7" ht="14.4">
      <c r="A102" s="2"/>
      <c r="C102" s="2"/>
      <c r="D102" s="2"/>
      <c r="E102" s="4"/>
      <c r="F102" s="2"/>
      <c r="G102" s="4"/>
    </row>
    <row r="103" spans="1:7" ht="14.4">
      <c r="A103" s="2"/>
      <c r="B103" s="3"/>
      <c r="C103" s="2"/>
      <c r="D103" s="2"/>
      <c r="E103" s="4"/>
      <c r="F103" s="2"/>
      <c r="G103" s="4"/>
    </row>
    <row r="104" spans="1:7" ht="14.4">
      <c r="A104" s="2"/>
      <c r="B104" s="2"/>
      <c r="C104" s="2"/>
      <c r="D104" s="2"/>
      <c r="E104" s="4"/>
      <c r="F104" s="2"/>
      <c r="G104" s="4"/>
    </row>
    <row r="105" spans="1:7" ht="14.4">
      <c r="A105" s="2"/>
      <c r="B105" s="2"/>
      <c r="C105" s="2"/>
      <c r="D105" s="2"/>
      <c r="E105" s="4"/>
      <c r="F105" s="2"/>
      <c r="G105" s="4"/>
    </row>
    <row r="106" spans="1:7" ht="14.4">
      <c r="A106" s="2"/>
      <c r="B106" s="2"/>
      <c r="C106" s="2"/>
      <c r="D106" s="2"/>
      <c r="E106" s="4"/>
      <c r="F106" s="2"/>
      <c r="G106" s="4"/>
    </row>
    <row r="107" spans="1:7" ht="14.4">
      <c r="A107" s="2"/>
      <c r="B107" s="2"/>
      <c r="C107" s="2"/>
      <c r="D107" s="2"/>
      <c r="E107" s="4"/>
      <c r="F107" s="2"/>
      <c r="G107" s="4"/>
    </row>
    <row r="108" spans="1:7" ht="14.4">
      <c r="A108" s="2"/>
      <c r="C108" s="2"/>
      <c r="D108" s="2"/>
      <c r="E108" s="4"/>
      <c r="F108" s="2"/>
      <c r="G108" s="4"/>
    </row>
    <row r="109" spans="1:7" ht="14.4">
      <c r="A109" s="2"/>
      <c r="B109" s="2"/>
      <c r="C109" s="2"/>
      <c r="D109" s="2"/>
      <c r="E109" s="2"/>
      <c r="F109" s="2"/>
      <c r="G109" s="4"/>
    </row>
    <row r="110" spans="1:7" ht="14.4">
      <c r="B110" s="2"/>
    </row>
    <row r="111" spans="1:7" ht="14.4">
      <c r="B111" s="2"/>
    </row>
    <row r="112" spans="1:7" ht="14.4">
      <c r="B112" s="2"/>
    </row>
    <row r="113" spans="2:2" ht="14.4">
      <c r="B113" s="2"/>
    </row>
    <row r="114" spans="2:2" ht="14.4">
      <c r="B114" s="2"/>
    </row>
    <row r="115" spans="2:2" ht="14.4">
      <c r="B115" s="2"/>
    </row>
    <row r="116" spans="2:2" ht="14.4">
      <c r="B116" s="2"/>
    </row>
    <row r="117" spans="2:2" ht="14.4">
      <c r="B117" s="2"/>
    </row>
    <row r="118" spans="2:2" ht="14.4">
      <c r="B118" s="2"/>
    </row>
    <row r="119" spans="2:2" ht="14.4">
      <c r="B119" s="2"/>
    </row>
    <row r="120" spans="2:2" ht="14.4">
      <c r="B120" s="2"/>
    </row>
    <row r="121" spans="2:2" ht="14.4">
      <c r="B121" s="2"/>
    </row>
    <row r="122" spans="2:2" ht="14.4">
      <c r="B122" s="2"/>
    </row>
    <row r="123" spans="2:2" ht="14.4">
      <c r="B123" s="2"/>
    </row>
    <row r="124" spans="2:2" ht="14.4">
      <c r="B124" s="2"/>
    </row>
    <row r="125" spans="2:2" ht="14.4">
      <c r="B125" s="2"/>
    </row>
    <row r="126" spans="2:2" ht="14.4">
      <c r="B126" s="2"/>
    </row>
    <row r="127" spans="2:2" ht="14.4">
      <c r="B127" s="2"/>
    </row>
    <row r="128" spans="2:2" ht="14.4">
      <c r="B128" s="2"/>
    </row>
    <row r="129" spans="2:2" ht="14.4">
      <c r="B129" s="2"/>
    </row>
    <row r="130" spans="2:2" ht="14.4">
      <c r="B130" s="2"/>
    </row>
    <row r="131" spans="2:2" ht="14.4">
      <c r="B131" s="2"/>
    </row>
  </sheetData>
  <conditionalFormatting sqref="B2 I3:I7 B4:B8 I9 B10 I11 B12 I13:I15 B14:B16 I17 B18">
    <cfRule type="notContainsBlanks" dxfId="12" priority="1">
      <formula>LEN(TRIM(B2))&gt;0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F4A5A-2F5B-4927-833D-22A84C8AF5E4}">
  <sheetPr codeName="Sheet3">
    <outlinePr summaryBelow="0" summaryRight="0"/>
  </sheetPr>
  <dimension ref="A1:N62"/>
  <sheetViews>
    <sheetView workbookViewId="0">
      <pane xSplit="1" ySplit="1" topLeftCell="B2" activePane="bottomRight" state="frozen"/>
      <selection activeCell="G2" sqref="G2"/>
      <selection pane="topRight" activeCell="G2" sqref="G2"/>
      <selection pane="bottomLeft" activeCell="G2" sqref="G2"/>
      <selection pane="bottomRight" activeCell="C10" sqref="C10"/>
    </sheetView>
  </sheetViews>
  <sheetFormatPr defaultColWidth="14.44140625" defaultRowHeight="15.75" customHeight="1"/>
  <cols>
    <col min="1" max="1" width="2.5546875" style="82" customWidth="1"/>
    <col min="2" max="3" width="14.6640625" style="76" customWidth="1"/>
    <col min="4" max="4" width="14.6640625" style="62" customWidth="1"/>
    <col min="5" max="5" width="16.109375" style="62" bestFit="1" customWidth="1"/>
    <col min="6" max="13" width="14.6640625" style="62" customWidth="1"/>
    <col min="14" max="16384" width="14.44140625" style="62"/>
  </cols>
  <sheetData>
    <row r="1" spans="1:14" s="59" customFormat="1" ht="15.75" customHeight="1">
      <c r="A1" s="77"/>
      <c r="B1" s="83">
        <v>1</v>
      </c>
      <c r="C1" s="83">
        <v>2</v>
      </c>
      <c r="D1" s="83">
        <v>3</v>
      </c>
      <c r="E1" s="83">
        <v>4</v>
      </c>
      <c r="F1" s="83">
        <v>5</v>
      </c>
      <c r="G1" s="83">
        <v>6</v>
      </c>
      <c r="H1" s="83">
        <v>7</v>
      </c>
      <c r="I1" s="83">
        <v>8</v>
      </c>
      <c r="J1" s="83">
        <v>9</v>
      </c>
      <c r="K1" s="83">
        <v>10</v>
      </c>
      <c r="L1" s="83">
        <v>11</v>
      </c>
      <c r="M1" s="83">
        <v>12</v>
      </c>
      <c r="N1" s="84" t="s">
        <v>4</v>
      </c>
    </row>
    <row r="2" spans="1:14" ht="15.75" customHeight="1">
      <c r="A2" s="78" t="s">
        <v>13</v>
      </c>
      <c r="B2" s="72"/>
      <c r="C2" s="72"/>
      <c r="E2" s="88"/>
      <c r="F2" s="86"/>
      <c r="G2" s="73" t="s">
        <v>14</v>
      </c>
      <c r="H2" s="73" t="s">
        <v>14</v>
      </c>
      <c r="I2" s="73" t="s">
        <v>14</v>
      </c>
      <c r="J2" s="73" t="s">
        <v>14</v>
      </c>
      <c r="K2" s="73" t="s">
        <v>14</v>
      </c>
      <c r="L2" s="73" t="s">
        <v>14</v>
      </c>
      <c r="M2" s="73" t="s">
        <v>14</v>
      </c>
      <c r="N2" s="71" t="s">
        <v>8</v>
      </c>
    </row>
    <row r="3" spans="1:14" ht="15.75" customHeight="1">
      <c r="A3" s="79"/>
      <c r="B3" s="74"/>
      <c r="C3" s="74"/>
      <c r="D3" s="74"/>
      <c r="E3" s="74"/>
      <c r="F3" s="74"/>
      <c r="G3" s="74"/>
      <c r="H3" s="74"/>
      <c r="I3" s="74"/>
      <c r="J3" s="74"/>
      <c r="K3" s="74"/>
      <c r="L3" s="74"/>
      <c r="M3" s="74"/>
    </row>
    <row r="4" spans="1:14" ht="15.75" customHeight="1">
      <c r="A4" s="78" t="s">
        <v>16</v>
      </c>
      <c r="B4" s="72" t="s">
        <v>58</v>
      </c>
      <c r="C4" s="72" t="s">
        <v>58</v>
      </c>
      <c r="E4" s="86"/>
      <c r="F4" s="86"/>
      <c r="G4" s="73" t="s">
        <v>14</v>
      </c>
      <c r="H4" s="73" t="s">
        <v>14</v>
      </c>
      <c r="I4" s="73" t="s">
        <v>14</v>
      </c>
      <c r="J4" s="73" t="s">
        <v>14</v>
      </c>
      <c r="K4" s="73" t="s">
        <v>14</v>
      </c>
      <c r="L4" s="73" t="s">
        <v>14</v>
      </c>
      <c r="M4" s="73" t="s">
        <v>14</v>
      </c>
    </row>
    <row r="5" spans="1:14" ht="15.75" customHeight="1">
      <c r="A5" s="79"/>
      <c r="B5" s="74" t="s">
        <v>4</v>
      </c>
      <c r="C5" s="74" t="s">
        <v>8</v>
      </c>
      <c r="E5" s="74"/>
      <c r="F5" s="74"/>
      <c r="G5" s="74"/>
      <c r="H5" s="74"/>
      <c r="I5" s="74"/>
      <c r="J5" s="74"/>
      <c r="K5" s="74"/>
      <c r="L5" s="74"/>
      <c r="M5" s="74"/>
    </row>
    <row r="6" spans="1:14" ht="15.75" customHeight="1">
      <c r="A6" s="78" t="s">
        <v>17</v>
      </c>
      <c r="B6" s="88" t="s">
        <v>141</v>
      </c>
      <c r="C6" s="88" t="s">
        <v>141</v>
      </c>
      <c r="E6" s="86"/>
      <c r="F6" s="86"/>
      <c r="G6" s="73" t="s">
        <v>14</v>
      </c>
      <c r="H6" s="73" t="s">
        <v>14</v>
      </c>
      <c r="I6" s="73" t="s">
        <v>14</v>
      </c>
      <c r="J6" s="73" t="s">
        <v>14</v>
      </c>
      <c r="K6" s="73" t="s">
        <v>14</v>
      </c>
      <c r="L6" s="73" t="s">
        <v>14</v>
      </c>
      <c r="M6" s="73" t="s">
        <v>14</v>
      </c>
    </row>
    <row r="7" spans="1:14" ht="15.75" customHeight="1">
      <c r="A7" s="79"/>
      <c r="B7" s="74" t="s">
        <v>4</v>
      </c>
      <c r="C7" s="74" t="s">
        <v>8</v>
      </c>
      <c r="E7" s="74"/>
      <c r="F7" s="74"/>
      <c r="G7" s="74"/>
      <c r="H7" s="74"/>
      <c r="I7" s="74"/>
      <c r="J7" s="74"/>
      <c r="K7" s="74"/>
      <c r="L7" s="74"/>
      <c r="M7" s="74"/>
    </row>
    <row r="8" spans="1:14" ht="15.75" customHeight="1">
      <c r="A8" s="78" t="s">
        <v>18</v>
      </c>
      <c r="B8" s="88" t="s">
        <v>142</v>
      </c>
      <c r="C8" s="88" t="s">
        <v>142</v>
      </c>
      <c r="E8" s="86"/>
      <c r="F8" s="86"/>
      <c r="G8" s="73" t="s">
        <v>14</v>
      </c>
      <c r="H8" s="73" t="s">
        <v>14</v>
      </c>
      <c r="I8" s="73" t="s">
        <v>14</v>
      </c>
      <c r="J8" s="73" t="s">
        <v>14</v>
      </c>
      <c r="K8" s="73" t="s">
        <v>14</v>
      </c>
      <c r="L8" s="73" t="s">
        <v>14</v>
      </c>
      <c r="M8" s="73" t="s">
        <v>14</v>
      </c>
    </row>
    <row r="9" spans="1:14" ht="15.75" customHeight="1">
      <c r="A9" s="79"/>
      <c r="B9" s="74" t="s">
        <v>4</v>
      </c>
      <c r="C9" s="74" t="s">
        <v>8</v>
      </c>
      <c r="E9" s="74"/>
      <c r="F9" s="74"/>
      <c r="G9" s="74"/>
      <c r="H9" s="74"/>
      <c r="I9" s="74"/>
      <c r="J9" s="74"/>
      <c r="K9" s="74"/>
      <c r="L9" s="74"/>
      <c r="M9" s="74"/>
    </row>
    <row r="10" spans="1:14" ht="15.75" customHeight="1">
      <c r="A10" s="78" t="s">
        <v>19</v>
      </c>
      <c r="B10" s="86"/>
      <c r="C10" s="86"/>
      <c r="E10" s="86"/>
      <c r="F10" s="86"/>
      <c r="G10" s="73" t="s">
        <v>14</v>
      </c>
      <c r="H10" s="73" t="s">
        <v>14</v>
      </c>
      <c r="I10" s="73" t="s">
        <v>14</v>
      </c>
      <c r="J10" s="73" t="s">
        <v>14</v>
      </c>
      <c r="K10" s="73" t="s">
        <v>14</v>
      </c>
      <c r="L10" s="73" t="s">
        <v>14</v>
      </c>
      <c r="M10" s="73" t="s">
        <v>14</v>
      </c>
    </row>
    <row r="11" spans="1:14" ht="15.75" customHeight="1">
      <c r="A11" s="79"/>
      <c r="B11" s="74"/>
      <c r="C11" s="74"/>
      <c r="E11" s="74"/>
      <c r="F11" s="74"/>
      <c r="G11" s="74"/>
      <c r="H11" s="74"/>
      <c r="I11" s="74"/>
      <c r="J11" s="74"/>
      <c r="K11" s="74"/>
      <c r="L11" s="74"/>
      <c r="M11" s="74"/>
    </row>
    <row r="12" spans="1:14" ht="15.75" customHeight="1">
      <c r="A12" s="78" t="s">
        <v>20</v>
      </c>
      <c r="B12" s="86"/>
      <c r="C12" s="86"/>
      <c r="D12" s="70"/>
      <c r="E12" s="70"/>
      <c r="F12" s="73" t="s">
        <v>14</v>
      </c>
      <c r="G12" s="73" t="s">
        <v>14</v>
      </c>
      <c r="H12" s="73" t="s">
        <v>14</v>
      </c>
      <c r="I12" s="73" t="s">
        <v>14</v>
      </c>
      <c r="J12" s="73" t="s">
        <v>14</v>
      </c>
      <c r="K12" s="73" t="s">
        <v>14</v>
      </c>
      <c r="L12" s="73" t="s">
        <v>14</v>
      </c>
      <c r="M12" s="73" t="s">
        <v>14</v>
      </c>
    </row>
    <row r="13" spans="1:14" ht="15.75" customHeight="1">
      <c r="A13" s="79"/>
      <c r="B13" s="74"/>
      <c r="C13" s="74"/>
      <c r="D13" s="74"/>
      <c r="E13" s="74"/>
      <c r="F13" s="74"/>
      <c r="G13" s="74"/>
      <c r="H13" s="74"/>
      <c r="I13" s="74"/>
      <c r="J13" s="74"/>
      <c r="K13" s="74"/>
      <c r="L13" s="74"/>
      <c r="M13" s="74"/>
    </row>
    <row r="14" spans="1:14" ht="15.75" customHeight="1">
      <c r="A14" s="78" t="s">
        <v>21</v>
      </c>
      <c r="B14" s="86"/>
      <c r="C14" s="86"/>
      <c r="D14" s="70"/>
      <c r="E14" s="70"/>
      <c r="F14" s="73" t="s">
        <v>14</v>
      </c>
      <c r="G14" s="73" t="s">
        <v>14</v>
      </c>
      <c r="H14" s="73" t="s">
        <v>14</v>
      </c>
      <c r="I14" s="73" t="s">
        <v>14</v>
      </c>
      <c r="J14" s="73" t="s">
        <v>14</v>
      </c>
      <c r="K14" s="73" t="s">
        <v>14</v>
      </c>
      <c r="L14" s="73" t="s">
        <v>14</v>
      </c>
      <c r="M14" s="73" t="s">
        <v>14</v>
      </c>
    </row>
    <row r="15" spans="1:14" ht="15.75" customHeight="1">
      <c r="A15" s="79"/>
      <c r="B15" s="74"/>
      <c r="C15" s="74"/>
      <c r="D15" s="74"/>
      <c r="E15" s="74"/>
      <c r="F15" s="74"/>
      <c r="G15" s="74"/>
      <c r="H15" s="74"/>
      <c r="I15" s="74"/>
      <c r="J15" s="74"/>
      <c r="K15" s="74"/>
      <c r="L15" s="74"/>
      <c r="M15" s="74"/>
    </row>
    <row r="16" spans="1:14" ht="15.75" customHeight="1">
      <c r="A16" s="78" t="s">
        <v>22</v>
      </c>
      <c r="B16" s="86"/>
      <c r="C16" s="86"/>
      <c r="D16" s="70"/>
      <c r="E16" s="70"/>
      <c r="F16" s="73" t="s">
        <v>14</v>
      </c>
      <c r="G16" s="73" t="s">
        <v>14</v>
      </c>
      <c r="H16" s="73" t="s">
        <v>14</v>
      </c>
      <c r="I16" s="73" t="s">
        <v>14</v>
      </c>
      <c r="J16" s="73" t="s">
        <v>14</v>
      </c>
      <c r="K16" s="73" t="s">
        <v>14</v>
      </c>
      <c r="L16" s="73" t="s">
        <v>14</v>
      </c>
      <c r="M16" s="73" t="s">
        <v>14</v>
      </c>
    </row>
    <row r="17" spans="1:13" ht="15.75" customHeight="1">
      <c r="A17" s="79"/>
      <c r="B17" s="74"/>
      <c r="C17" s="74"/>
      <c r="D17" s="74"/>
      <c r="E17" s="74"/>
      <c r="F17" s="74"/>
      <c r="G17" s="74"/>
      <c r="H17" s="74"/>
      <c r="I17" s="74"/>
      <c r="J17" s="74"/>
      <c r="K17" s="74"/>
      <c r="L17" s="74"/>
      <c r="M17" s="74"/>
    </row>
    <row r="18" spans="1:13" ht="15.75" customHeight="1">
      <c r="A18" s="80"/>
      <c r="B18" s="75"/>
      <c r="C18" s="75"/>
      <c r="D18" s="70"/>
      <c r="E18" s="70"/>
    </row>
    <row r="19" spans="1:13" ht="15.75" customHeight="1">
      <c r="A19" s="80"/>
      <c r="B19" s="75"/>
      <c r="C19" s="75"/>
      <c r="D19" s="70"/>
      <c r="E19" s="70"/>
    </row>
    <row r="20" spans="1:13" ht="15.75" customHeight="1">
      <c r="A20" s="80"/>
      <c r="B20" s="75"/>
      <c r="C20" s="75"/>
      <c r="D20" s="70"/>
      <c r="E20" s="70"/>
    </row>
    <row r="21" spans="1:13" ht="15.75" customHeight="1">
      <c r="A21" s="80"/>
      <c r="B21" s="75"/>
      <c r="C21" s="75"/>
      <c r="D21" s="70"/>
      <c r="E21" s="70"/>
    </row>
    <row r="22" spans="1:13" ht="15.75" customHeight="1">
      <c r="A22" s="80"/>
      <c r="B22" s="75"/>
      <c r="C22" s="75"/>
      <c r="D22" s="70"/>
      <c r="E22" s="70"/>
    </row>
    <row r="23" spans="1:13" ht="15.75" customHeight="1">
      <c r="A23" s="80"/>
      <c r="B23" s="75"/>
      <c r="C23" s="75"/>
      <c r="D23" s="70"/>
      <c r="E23" s="70"/>
    </row>
    <row r="24" spans="1:13" ht="15.75" customHeight="1">
      <c r="A24" s="80"/>
      <c r="B24" s="75"/>
      <c r="C24" s="75"/>
      <c r="D24" s="70"/>
      <c r="E24" s="70"/>
    </row>
    <row r="25" spans="1:13" ht="15.75" customHeight="1">
      <c r="A25" s="80"/>
      <c r="B25" s="75"/>
      <c r="C25" s="75"/>
      <c r="D25" s="70"/>
      <c r="E25" s="70"/>
    </row>
    <row r="26" spans="1:13" ht="15.75" customHeight="1">
      <c r="A26" s="80"/>
      <c r="B26" s="75"/>
      <c r="C26" s="75"/>
    </row>
    <row r="27" spans="1:13" ht="15.75" customHeight="1">
      <c r="A27" s="80"/>
      <c r="B27" s="75"/>
      <c r="C27" s="75"/>
      <c r="D27" s="70"/>
      <c r="E27" s="70"/>
    </row>
    <row r="28" spans="1:13" ht="15.75" customHeight="1">
      <c r="A28" s="80"/>
      <c r="B28" s="75"/>
      <c r="C28" s="75"/>
      <c r="D28" s="70"/>
      <c r="E28" s="70"/>
    </row>
    <row r="29" spans="1:13" ht="15.75" customHeight="1">
      <c r="A29" s="80"/>
      <c r="B29" s="75"/>
      <c r="C29" s="75"/>
      <c r="D29" s="70"/>
      <c r="E29" s="70"/>
    </row>
    <row r="30" spans="1:13" ht="13.2">
      <c r="A30" s="80"/>
      <c r="B30" s="75"/>
      <c r="C30" s="75"/>
      <c r="D30" s="70"/>
      <c r="E30" s="70"/>
    </row>
    <row r="31" spans="1:13" ht="13.2">
      <c r="A31" s="80"/>
      <c r="B31" s="75"/>
      <c r="C31" s="75"/>
      <c r="D31" s="70"/>
      <c r="E31" s="70"/>
    </row>
    <row r="32" spans="1:13" ht="13.2">
      <c r="A32" s="80"/>
      <c r="B32" s="75"/>
      <c r="C32" s="75"/>
      <c r="D32" s="70"/>
      <c r="E32" s="70"/>
    </row>
    <row r="33" spans="1:5" ht="13.2">
      <c r="A33" s="80"/>
      <c r="B33" s="75"/>
      <c r="C33" s="75"/>
      <c r="D33" s="70"/>
      <c r="E33" s="70"/>
    </row>
    <row r="34" spans="1:5" ht="13.2">
      <c r="A34" s="80"/>
      <c r="B34" s="75"/>
      <c r="C34" s="75"/>
    </row>
    <row r="35" spans="1:5" ht="13.2">
      <c r="A35" s="80"/>
      <c r="B35" s="75"/>
      <c r="C35" s="75"/>
      <c r="D35" s="70"/>
      <c r="E35" s="70"/>
    </row>
    <row r="36" spans="1:5" ht="13.2">
      <c r="A36" s="80"/>
      <c r="B36" s="75"/>
      <c r="C36" s="75"/>
      <c r="D36" s="70"/>
      <c r="E36" s="70"/>
    </row>
    <row r="37" spans="1:5" ht="13.2">
      <c r="A37" s="80"/>
      <c r="B37" s="75"/>
      <c r="C37" s="75"/>
      <c r="D37" s="70"/>
      <c r="E37" s="70"/>
    </row>
    <row r="38" spans="1:5" ht="13.2">
      <c r="A38" s="80"/>
      <c r="B38" s="75"/>
      <c r="C38" s="75"/>
      <c r="D38" s="70"/>
      <c r="E38" s="70"/>
    </row>
    <row r="39" spans="1:5" ht="13.2">
      <c r="A39" s="80"/>
      <c r="B39" s="75"/>
      <c r="C39" s="75"/>
      <c r="D39" s="70"/>
      <c r="E39" s="70"/>
    </row>
    <row r="40" spans="1:5" ht="13.2">
      <c r="A40" s="80"/>
      <c r="B40" s="75"/>
      <c r="C40" s="75"/>
      <c r="D40" s="70"/>
      <c r="E40" s="70"/>
    </row>
    <row r="41" spans="1:5" ht="13.2">
      <c r="A41" s="80"/>
      <c r="B41" s="75"/>
      <c r="C41" s="75"/>
      <c r="D41" s="70"/>
      <c r="E41" s="70"/>
    </row>
    <row r="42" spans="1:5" ht="13.2">
      <c r="A42" s="80"/>
      <c r="B42" s="75"/>
      <c r="C42" s="75"/>
    </row>
    <row r="43" spans="1:5" ht="13.2">
      <c r="A43" s="80"/>
      <c r="B43" s="75"/>
      <c r="C43" s="75"/>
      <c r="D43" s="70"/>
      <c r="E43" s="70"/>
    </row>
    <row r="44" spans="1:5" ht="13.2">
      <c r="A44" s="80"/>
      <c r="B44" s="75"/>
      <c r="C44" s="75"/>
      <c r="D44" s="70"/>
      <c r="E44" s="70"/>
    </row>
    <row r="45" spans="1:5" ht="13.2">
      <c r="A45" s="80"/>
      <c r="B45" s="75"/>
      <c r="C45" s="75"/>
      <c r="D45" s="70"/>
      <c r="E45" s="70"/>
    </row>
    <row r="46" spans="1:5" ht="13.2">
      <c r="A46" s="80"/>
      <c r="B46" s="75"/>
      <c r="C46" s="75"/>
      <c r="D46" s="70"/>
      <c r="E46" s="70"/>
    </row>
    <row r="47" spans="1:5" ht="13.2">
      <c r="A47" s="80"/>
      <c r="B47" s="75"/>
      <c r="C47" s="75"/>
      <c r="D47" s="70"/>
      <c r="E47" s="70"/>
    </row>
    <row r="48" spans="1:5" ht="13.2">
      <c r="A48" s="80"/>
      <c r="B48" s="75"/>
      <c r="C48" s="75"/>
      <c r="D48" s="70"/>
      <c r="E48" s="70"/>
    </row>
    <row r="49" spans="1:5" ht="13.2">
      <c r="A49" s="80"/>
      <c r="B49" s="75"/>
      <c r="C49" s="75"/>
      <c r="D49" s="70"/>
      <c r="E49" s="70"/>
    </row>
    <row r="50" spans="1:5" ht="13.2">
      <c r="A50" s="81"/>
      <c r="B50" s="75"/>
      <c r="C50" s="75"/>
      <c r="D50" s="70"/>
      <c r="E50" s="70"/>
    </row>
    <row r="51" spans="1:5" ht="13.2">
      <c r="A51" s="81"/>
      <c r="B51" s="75"/>
      <c r="C51" s="75"/>
      <c r="D51" s="70"/>
      <c r="E51" s="70"/>
    </row>
    <row r="52" spans="1:5" ht="13.2">
      <c r="A52" s="81"/>
      <c r="B52" s="75"/>
      <c r="C52" s="75"/>
      <c r="D52" s="70"/>
      <c r="E52" s="70"/>
    </row>
    <row r="53" spans="1:5" ht="13.2">
      <c r="A53" s="81"/>
      <c r="B53" s="75"/>
      <c r="C53" s="75"/>
      <c r="D53" s="70"/>
      <c r="E53" s="70"/>
    </row>
    <row r="54" spans="1:5" ht="13.2">
      <c r="A54" s="81"/>
      <c r="B54" s="75"/>
      <c r="C54" s="75"/>
      <c r="D54" s="70"/>
      <c r="E54" s="70"/>
    </row>
    <row r="55" spans="1:5" ht="13.2">
      <c r="A55" s="81"/>
      <c r="B55" s="75"/>
      <c r="C55" s="75"/>
      <c r="D55" s="70"/>
      <c r="E55" s="70"/>
    </row>
    <row r="56" spans="1:5" ht="13.2">
      <c r="A56" s="81"/>
      <c r="B56" s="75"/>
      <c r="C56" s="75"/>
      <c r="D56" s="70"/>
      <c r="E56" s="70"/>
    </row>
    <row r="57" spans="1:5" ht="13.2">
      <c r="A57" s="80"/>
      <c r="B57" s="75"/>
      <c r="C57" s="75"/>
      <c r="D57" s="70"/>
      <c r="E57" s="70"/>
    </row>
    <row r="58" spans="1:5" ht="13.2">
      <c r="A58" s="80"/>
      <c r="B58" s="75"/>
      <c r="C58" s="75"/>
      <c r="D58" s="70"/>
      <c r="E58" s="70"/>
    </row>
    <row r="59" spans="1:5" ht="13.2">
      <c r="A59" s="80"/>
      <c r="B59" s="75"/>
      <c r="C59" s="75"/>
      <c r="D59" s="70"/>
      <c r="E59" s="70"/>
    </row>
    <row r="60" spans="1:5" ht="13.2">
      <c r="A60" s="80"/>
      <c r="B60" s="75"/>
      <c r="C60" s="75"/>
      <c r="D60" s="70"/>
      <c r="E60" s="70"/>
    </row>
    <row r="61" spans="1:5" ht="13.2">
      <c r="A61" s="80"/>
      <c r="B61" s="75"/>
      <c r="C61" s="75"/>
      <c r="D61" s="70"/>
      <c r="E61" s="70"/>
    </row>
    <row r="62" spans="1:5" ht="13.2">
      <c r="A62" s="80"/>
      <c r="B62" s="75"/>
      <c r="C62" s="75"/>
      <c r="D62" s="70"/>
      <c r="E62" s="70"/>
    </row>
  </sheetData>
  <sheetProtection algorithmName="SHA-512" hashValue="z1GwNcA0r3iMJQJRkFp+LZVh/pj++JZ6S9eQJVJ2qQJe0LE85Z113bl4+HQnJR18OEuKNWFypuWICOG4dVwvrw==" saltValue="sKOYFrkaweBurLvAHpUgJQ==" spinCount="100000" sheet="1" objects="1" scenarios="1"/>
  <conditionalFormatting sqref="A1:M1 A12:M17 E2:M11 A2:C11">
    <cfRule type="notContainsBlanks" dxfId="11" priority="14">
      <formula>LEN(TRIM(A1))&gt;0</formula>
    </cfRule>
  </conditionalFormatting>
  <conditionalFormatting sqref="F2">
    <cfRule type="notContainsBlanks" dxfId="10" priority="13">
      <formula>LEN(TRIM(F2))&gt;0</formula>
    </cfRule>
  </conditionalFormatting>
  <conditionalFormatting sqref="A13:M13">
    <cfRule type="notContainsBlanks" dxfId="9" priority="8">
      <formula>LEN(TRIM(A13))&gt;0</formula>
    </cfRule>
  </conditionalFormatting>
  <conditionalFormatting sqref="A15:M15">
    <cfRule type="notContainsBlanks" dxfId="8" priority="7">
      <formula>LEN(TRIM(A15))&gt;0</formula>
    </cfRule>
  </conditionalFormatting>
  <conditionalFormatting sqref="A17:M17">
    <cfRule type="notContainsBlanks" dxfId="7" priority="6">
      <formula>LEN(TRIM(A17))&gt;0</formula>
    </cfRule>
  </conditionalFormatting>
  <conditionalFormatting sqref="E2">
    <cfRule type="notContainsBlanks" dxfId="6" priority="5">
      <formula>LEN(TRIM(E2))&gt;0</formula>
    </cfRule>
  </conditionalFormatting>
  <conditionalFormatting sqref="E2">
    <cfRule type="notContainsBlanks" dxfId="5" priority="4">
      <formula>LEN(TRIM(E2))&gt;0</formula>
    </cfRule>
  </conditionalFormatting>
  <conditionalFormatting sqref="F2">
    <cfRule type="notContainsBlanks" dxfId="4" priority="3">
      <formula>LEN(TRIM(F2))&gt;0</formula>
    </cfRule>
  </conditionalFormatting>
  <conditionalFormatting sqref="F2">
    <cfRule type="notContainsBlanks" dxfId="3" priority="2">
      <formula>LEN(TRIM(F2))&gt;0</formula>
    </cfRule>
  </conditionalFormatting>
  <conditionalFormatting sqref="D3">
    <cfRule type="notContainsBlanks" dxfId="2" priority="1">
      <formula>LEN(TRIM(D3))&gt;0</formula>
    </cfRule>
  </conditionalFormatting>
  <dataValidations count="1">
    <dataValidation type="list" allowBlank="1" showInputMessage="1" showErrorMessage="1" sqref="B13:M13 B15:M15 B17:M17 B9:C9 E9:M9 B7:C7 E7:M7 B5:C5 E5:M5 B11:C11 E11:M11 B3:C3 E3:M3" xr:uid="{DD85F731-08B1-4701-8F62-67D745EA7B1D}">
      <formula1>$N$1:$N$2</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7AC22-111A-4698-896B-2C5A74A15BC1}">
  <sheetPr codeName="Sheet4"/>
  <dimension ref="A1:G100"/>
  <sheetViews>
    <sheetView workbookViewId="0">
      <selection activeCell="G2" sqref="G2"/>
    </sheetView>
  </sheetViews>
  <sheetFormatPr defaultColWidth="9.109375" defaultRowHeight="13.2"/>
  <cols>
    <col min="1" max="1" width="17.44140625" style="62" bestFit="1" customWidth="1"/>
    <col min="2" max="2" width="10.109375" style="62" bestFit="1" customWidth="1"/>
    <col min="3" max="3" width="2.33203125" style="59" bestFit="1" customWidth="1"/>
    <col min="4" max="4" width="42.5546875" style="62" bestFit="1" customWidth="1"/>
    <col min="5" max="5" width="11.5546875" style="62" bestFit="1" customWidth="1"/>
    <col min="6" max="6" width="19.5546875" style="62" bestFit="1" customWidth="1"/>
    <col min="7" max="7" width="35.33203125" style="59" bestFit="1" customWidth="1"/>
    <col min="8" max="16384" width="9.109375" style="62"/>
  </cols>
  <sheetData>
    <row r="1" spans="1:7" s="59" customFormat="1">
      <c r="A1" s="69" t="s">
        <v>108</v>
      </c>
      <c r="B1" s="69" t="s">
        <v>34</v>
      </c>
      <c r="C1" s="69"/>
      <c r="D1" s="69" t="s">
        <v>104</v>
      </c>
      <c r="E1" s="69" t="s">
        <v>105</v>
      </c>
      <c r="F1" s="69" t="s">
        <v>109</v>
      </c>
      <c r="G1" s="69" t="s">
        <v>106</v>
      </c>
    </row>
    <row r="2" spans="1:7">
      <c r="A2" s="62" t="s">
        <v>141</v>
      </c>
      <c r="B2" s="62">
        <v>17327255</v>
      </c>
      <c r="C2" s="59" t="str">
        <f>GetDv(B2)</f>
        <v>3</v>
      </c>
      <c r="D2" s="63" t="s">
        <v>145</v>
      </c>
      <c r="E2" s="64" t="s">
        <v>143</v>
      </c>
      <c r="F2" s="65">
        <v>44039</v>
      </c>
      <c r="G2" s="62" t="s">
        <v>141</v>
      </c>
    </row>
    <row r="3" spans="1:7">
      <c r="A3" s="62" t="s">
        <v>142</v>
      </c>
      <c r="B3" s="62">
        <v>7741546</v>
      </c>
      <c r="C3" s="59" t="str">
        <f>GetDv(B3)</f>
        <v>7</v>
      </c>
      <c r="D3" s="62" t="s">
        <v>146</v>
      </c>
      <c r="E3" s="64" t="s">
        <v>144</v>
      </c>
      <c r="G3" s="59" t="str">
        <f>TEXTS!B7</f>
        <v>2020727-17327255</v>
      </c>
    </row>
    <row r="4" spans="1:7">
      <c r="C4" s="59" t="str">
        <f>GetDv(B4)</f>
        <v>0</v>
      </c>
      <c r="E4" s="66"/>
    </row>
    <row r="5" spans="1:7">
      <c r="C5" s="59" t="str">
        <f>GetDv(B5)</f>
        <v>0</v>
      </c>
      <c r="E5" s="67"/>
    </row>
    <row r="6" spans="1:7">
      <c r="C6" s="59" t="str">
        <f>GetDv(B6)</f>
        <v>0</v>
      </c>
      <c r="E6" s="68"/>
    </row>
    <row r="7" spans="1:7">
      <c r="C7" s="59" t="str">
        <f t="shared" ref="C7:C70" si="0">GetDv(B7)</f>
        <v>0</v>
      </c>
      <c r="E7" s="64"/>
    </row>
    <row r="8" spans="1:7">
      <c r="C8" s="59" t="str">
        <f t="shared" si="0"/>
        <v>0</v>
      </c>
      <c r="E8" s="64"/>
    </row>
    <row r="9" spans="1:7">
      <c r="C9" s="59" t="str">
        <f t="shared" si="0"/>
        <v>0</v>
      </c>
      <c r="E9" s="64"/>
    </row>
    <row r="10" spans="1:7">
      <c r="C10" s="59" t="str">
        <f t="shared" si="0"/>
        <v>0</v>
      </c>
      <c r="D10" s="63"/>
      <c r="E10" s="64"/>
    </row>
    <row r="11" spans="1:7">
      <c r="C11" s="59" t="str">
        <f t="shared" si="0"/>
        <v>0</v>
      </c>
      <c r="D11" s="63"/>
      <c r="E11" s="64"/>
    </row>
    <row r="12" spans="1:7">
      <c r="C12" s="59" t="str">
        <f t="shared" si="0"/>
        <v>0</v>
      </c>
      <c r="E12" s="64"/>
    </row>
    <row r="13" spans="1:7">
      <c r="C13" s="59" t="str">
        <f t="shared" si="0"/>
        <v>0</v>
      </c>
      <c r="E13" s="64"/>
    </row>
    <row r="14" spans="1:7">
      <c r="C14" s="59" t="str">
        <f t="shared" si="0"/>
        <v>0</v>
      </c>
      <c r="E14" s="64"/>
    </row>
    <row r="15" spans="1:7">
      <c r="C15" s="59" t="str">
        <f t="shared" si="0"/>
        <v>0</v>
      </c>
      <c r="E15" s="64"/>
    </row>
    <row r="16" spans="1:7">
      <c r="C16" s="59" t="str">
        <f t="shared" si="0"/>
        <v>0</v>
      </c>
      <c r="E16" s="64"/>
    </row>
    <row r="17" spans="3:5">
      <c r="C17" s="59" t="str">
        <f t="shared" si="0"/>
        <v>0</v>
      </c>
      <c r="E17" s="64"/>
    </row>
    <row r="18" spans="3:5">
      <c r="C18" s="59" t="str">
        <f t="shared" si="0"/>
        <v>0</v>
      </c>
      <c r="E18" s="64"/>
    </row>
    <row r="19" spans="3:5">
      <c r="C19" s="59" t="str">
        <f t="shared" si="0"/>
        <v>0</v>
      </c>
      <c r="E19" s="64"/>
    </row>
    <row r="20" spans="3:5">
      <c r="C20" s="59" t="str">
        <f t="shared" si="0"/>
        <v>0</v>
      </c>
      <c r="E20" s="64"/>
    </row>
    <row r="21" spans="3:5">
      <c r="C21" s="59" t="str">
        <f t="shared" si="0"/>
        <v>0</v>
      </c>
      <c r="E21" s="64"/>
    </row>
    <row r="22" spans="3:5">
      <c r="C22" s="59" t="str">
        <f t="shared" si="0"/>
        <v>0</v>
      </c>
      <c r="E22" s="64"/>
    </row>
    <row r="23" spans="3:5">
      <c r="C23" s="59" t="str">
        <f t="shared" si="0"/>
        <v>0</v>
      </c>
      <c r="E23" s="64"/>
    </row>
    <row r="24" spans="3:5">
      <c r="C24" s="59" t="str">
        <f t="shared" si="0"/>
        <v>0</v>
      </c>
      <c r="E24" s="64"/>
    </row>
    <row r="25" spans="3:5">
      <c r="C25" s="59" t="str">
        <f t="shared" si="0"/>
        <v>0</v>
      </c>
      <c r="E25" s="64"/>
    </row>
    <row r="26" spans="3:5">
      <c r="C26" s="59" t="str">
        <f t="shared" si="0"/>
        <v>0</v>
      </c>
      <c r="E26" s="64"/>
    </row>
    <row r="27" spans="3:5">
      <c r="C27" s="59" t="str">
        <f t="shared" si="0"/>
        <v>0</v>
      </c>
      <c r="E27" s="64"/>
    </row>
    <row r="28" spans="3:5">
      <c r="C28" s="59" t="str">
        <f t="shared" si="0"/>
        <v>0</v>
      </c>
      <c r="E28" s="64"/>
    </row>
    <row r="29" spans="3:5">
      <c r="C29" s="59" t="str">
        <f t="shared" si="0"/>
        <v>0</v>
      </c>
      <c r="E29" s="64"/>
    </row>
    <row r="30" spans="3:5">
      <c r="C30" s="59" t="str">
        <f t="shared" si="0"/>
        <v>0</v>
      </c>
      <c r="E30" s="64"/>
    </row>
    <row r="31" spans="3:5">
      <c r="C31" s="59" t="str">
        <f t="shared" si="0"/>
        <v>0</v>
      </c>
      <c r="E31" s="64"/>
    </row>
    <row r="32" spans="3:5">
      <c r="C32" s="59" t="str">
        <f t="shared" si="0"/>
        <v>0</v>
      </c>
      <c r="E32" s="64"/>
    </row>
    <row r="33" spans="3:5">
      <c r="C33" s="59" t="str">
        <f t="shared" si="0"/>
        <v>0</v>
      </c>
      <c r="E33" s="64"/>
    </row>
    <row r="34" spans="3:5">
      <c r="C34" s="59" t="str">
        <f t="shared" si="0"/>
        <v>0</v>
      </c>
      <c r="E34" s="64"/>
    </row>
    <row r="35" spans="3:5">
      <c r="C35" s="59" t="str">
        <f t="shared" si="0"/>
        <v>0</v>
      </c>
      <c r="E35" s="64"/>
    </row>
    <row r="36" spans="3:5">
      <c r="C36" s="59" t="str">
        <f t="shared" si="0"/>
        <v>0</v>
      </c>
      <c r="E36" s="64"/>
    </row>
    <row r="37" spans="3:5">
      <c r="C37" s="59" t="str">
        <f t="shared" si="0"/>
        <v>0</v>
      </c>
      <c r="E37" s="64"/>
    </row>
    <row r="38" spans="3:5">
      <c r="C38" s="59" t="str">
        <f t="shared" si="0"/>
        <v>0</v>
      </c>
      <c r="E38" s="64"/>
    </row>
    <row r="39" spans="3:5">
      <c r="C39" s="59" t="str">
        <f t="shared" si="0"/>
        <v>0</v>
      </c>
      <c r="E39" s="64"/>
    </row>
    <row r="40" spans="3:5">
      <c r="C40" s="59" t="str">
        <f t="shared" si="0"/>
        <v>0</v>
      </c>
      <c r="E40" s="64"/>
    </row>
    <row r="41" spans="3:5">
      <c r="C41" s="59" t="str">
        <f t="shared" si="0"/>
        <v>0</v>
      </c>
      <c r="E41" s="64"/>
    </row>
    <row r="42" spans="3:5">
      <c r="C42" s="59" t="str">
        <f t="shared" si="0"/>
        <v>0</v>
      </c>
      <c r="E42" s="64"/>
    </row>
    <row r="43" spans="3:5">
      <c r="C43" s="59" t="str">
        <f t="shared" si="0"/>
        <v>0</v>
      </c>
      <c r="E43" s="64"/>
    </row>
    <row r="44" spans="3:5">
      <c r="C44" s="59" t="str">
        <f t="shared" si="0"/>
        <v>0</v>
      </c>
      <c r="E44" s="64"/>
    </row>
    <row r="45" spans="3:5">
      <c r="C45" s="59" t="str">
        <f t="shared" si="0"/>
        <v>0</v>
      </c>
      <c r="E45" s="64"/>
    </row>
    <row r="46" spans="3:5">
      <c r="C46" s="59" t="str">
        <f t="shared" si="0"/>
        <v>0</v>
      </c>
      <c r="E46" s="64"/>
    </row>
    <row r="47" spans="3:5">
      <c r="C47" s="59" t="str">
        <f t="shared" si="0"/>
        <v>0</v>
      </c>
      <c r="E47" s="64"/>
    </row>
    <row r="48" spans="3:5">
      <c r="C48" s="59" t="str">
        <f t="shared" si="0"/>
        <v>0</v>
      </c>
      <c r="E48" s="64"/>
    </row>
    <row r="49" spans="3:5">
      <c r="C49" s="59" t="str">
        <f t="shared" si="0"/>
        <v>0</v>
      </c>
      <c r="E49" s="64"/>
    </row>
    <row r="50" spans="3:5">
      <c r="C50" s="59" t="str">
        <f t="shared" si="0"/>
        <v>0</v>
      </c>
      <c r="E50" s="64"/>
    </row>
    <row r="51" spans="3:5">
      <c r="C51" s="59" t="str">
        <f t="shared" si="0"/>
        <v>0</v>
      </c>
      <c r="E51" s="64"/>
    </row>
    <row r="52" spans="3:5">
      <c r="C52" s="59" t="str">
        <f t="shared" si="0"/>
        <v>0</v>
      </c>
      <c r="E52" s="64"/>
    </row>
    <row r="53" spans="3:5">
      <c r="C53" s="59" t="str">
        <f t="shared" si="0"/>
        <v>0</v>
      </c>
      <c r="E53" s="64"/>
    </row>
    <row r="54" spans="3:5">
      <c r="C54" s="59" t="str">
        <f t="shared" si="0"/>
        <v>0</v>
      </c>
      <c r="E54" s="64"/>
    </row>
    <row r="55" spans="3:5">
      <c r="C55" s="59" t="str">
        <f t="shared" si="0"/>
        <v>0</v>
      </c>
      <c r="E55" s="64"/>
    </row>
    <row r="56" spans="3:5">
      <c r="C56" s="59" t="str">
        <f t="shared" si="0"/>
        <v>0</v>
      </c>
      <c r="E56" s="64"/>
    </row>
    <row r="57" spans="3:5">
      <c r="C57" s="59" t="str">
        <f t="shared" si="0"/>
        <v>0</v>
      </c>
      <c r="E57" s="64"/>
    </row>
    <row r="58" spans="3:5">
      <c r="C58" s="59" t="str">
        <f t="shared" si="0"/>
        <v>0</v>
      </c>
      <c r="E58" s="64"/>
    </row>
    <row r="59" spans="3:5">
      <c r="C59" s="59" t="str">
        <f t="shared" si="0"/>
        <v>0</v>
      </c>
      <c r="E59" s="64"/>
    </row>
    <row r="60" spans="3:5">
      <c r="C60" s="59" t="str">
        <f t="shared" si="0"/>
        <v>0</v>
      </c>
      <c r="E60" s="64"/>
    </row>
    <row r="61" spans="3:5">
      <c r="C61" s="59" t="str">
        <f t="shared" si="0"/>
        <v>0</v>
      </c>
      <c r="E61" s="64"/>
    </row>
    <row r="62" spans="3:5">
      <c r="C62" s="59" t="str">
        <f t="shared" si="0"/>
        <v>0</v>
      </c>
      <c r="E62" s="64"/>
    </row>
    <row r="63" spans="3:5">
      <c r="C63" s="59" t="str">
        <f t="shared" si="0"/>
        <v>0</v>
      </c>
      <c r="E63" s="64"/>
    </row>
    <row r="64" spans="3:5">
      <c r="C64" s="59" t="str">
        <f t="shared" si="0"/>
        <v>0</v>
      </c>
      <c r="E64" s="64"/>
    </row>
    <row r="65" spans="3:5">
      <c r="C65" s="59" t="str">
        <f t="shared" si="0"/>
        <v>0</v>
      </c>
      <c r="E65" s="64"/>
    </row>
    <row r="66" spans="3:5">
      <c r="C66" s="59" t="str">
        <f t="shared" si="0"/>
        <v>0</v>
      </c>
      <c r="E66" s="64"/>
    </row>
    <row r="67" spans="3:5">
      <c r="C67" s="59" t="str">
        <f t="shared" si="0"/>
        <v>0</v>
      </c>
      <c r="E67" s="64"/>
    </row>
    <row r="68" spans="3:5">
      <c r="C68" s="59" t="str">
        <f t="shared" si="0"/>
        <v>0</v>
      </c>
      <c r="E68" s="64"/>
    </row>
    <row r="69" spans="3:5">
      <c r="C69" s="59" t="str">
        <f t="shared" si="0"/>
        <v>0</v>
      </c>
      <c r="E69" s="64"/>
    </row>
    <row r="70" spans="3:5">
      <c r="C70" s="59" t="str">
        <f t="shared" si="0"/>
        <v>0</v>
      </c>
      <c r="E70" s="64"/>
    </row>
    <row r="71" spans="3:5">
      <c r="C71" s="59" t="str">
        <f t="shared" ref="C71:C100" si="1">GetDv(B71)</f>
        <v>0</v>
      </c>
      <c r="E71" s="64"/>
    </row>
    <row r="72" spans="3:5">
      <c r="C72" s="59" t="str">
        <f t="shared" si="1"/>
        <v>0</v>
      </c>
      <c r="E72" s="64"/>
    </row>
    <row r="73" spans="3:5">
      <c r="C73" s="59" t="str">
        <f t="shared" si="1"/>
        <v>0</v>
      </c>
      <c r="E73" s="64"/>
    </row>
    <row r="74" spans="3:5">
      <c r="C74" s="59" t="str">
        <f t="shared" si="1"/>
        <v>0</v>
      </c>
      <c r="E74" s="64"/>
    </row>
    <row r="75" spans="3:5">
      <c r="C75" s="59" t="str">
        <f t="shared" si="1"/>
        <v>0</v>
      </c>
      <c r="E75" s="64"/>
    </row>
    <row r="76" spans="3:5">
      <c r="C76" s="59" t="str">
        <f t="shared" si="1"/>
        <v>0</v>
      </c>
      <c r="E76" s="64"/>
    </row>
    <row r="77" spans="3:5">
      <c r="C77" s="59" t="str">
        <f t="shared" si="1"/>
        <v>0</v>
      </c>
      <c r="E77" s="64"/>
    </row>
    <row r="78" spans="3:5">
      <c r="C78" s="59" t="str">
        <f t="shared" si="1"/>
        <v>0</v>
      </c>
      <c r="E78" s="64"/>
    </row>
    <row r="79" spans="3:5">
      <c r="C79" s="59" t="str">
        <f t="shared" si="1"/>
        <v>0</v>
      </c>
      <c r="E79" s="64"/>
    </row>
    <row r="80" spans="3:5">
      <c r="C80" s="59" t="str">
        <f t="shared" si="1"/>
        <v>0</v>
      </c>
      <c r="E80" s="64"/>
    </row>
    <row r="81" spans="3:5">
      <c r="C81" s="59" t="str">
        <f t="shared" si="1"/>
        <v>0</v>
      </c>
      <c r="E81" s="64"/>
    </row>
    <row r="82" spans="3:5">
      <c r="C82" s="59" t="str">
        <f t="shared" si="1"/>
        <v>0</v>
      </c>
      <c r="E82" s="64"/>
    </row>
    <row r="83" spans="3:5">
      <c r="C83" s="59" t="str">
        <f t="shared" si="1"/>
        <v>0</v>
      </c>
      <c r="E83" s="64"/>
    </row>
    <row r="84" spans="3:5">
      <c r="C84" s="59" t="str">
        <f t="shared" si="1"/>
        <v>0</v>
      </c>
      <c r="E84" s="64"/>
    </row>
    <row r="85" spans="3:5">
      <c r="C85" s="59" t="str">
        <f t="shared" si="1"/>
        <v>0</v>
      </c>
      <c r="E85" s="64"/>
    </row>
    <row r="86" spans="3:5">
      <c r="C86" s="59" t="str">
        <f t="shared" si="1"/>
        <v>0</v>
      </c>
      <c r="E86" s="64"/>
    </row>
    <row r="87" spans="3:5">
      <c r="C87" s="59" t="str">
        <f t="shared" si="1"/>
        <v>0</v>
      </c>
      <c r="E87" s="64"/>
    </row>
    <row r="88" spans="3:5">
      <c r="C88" s="59" t="str">
        <f t="shared" si="1"/>
        <v>0</v>
      </c>
      <c r="E88" s="64"/>
    </row>
    <row r="89" spans="3:5">
      <c r="C89" s="59" t="str">
        <f t="shared" si="1"/>
        <v>0</v>
      </c>
      <c r="E89" s="64"/>
    </row>
    <row r="90" spans="3:5">
      <c r="C90" s="59" t="str">
        <f t="shared" si="1"/>
        <v>0</v>
      </c>
      <c r="E90" s="64"/>
    </row>
    <row r="91" spans="3:5">
      <c r="C91" s="59" t="str">
        <f t="shared" si="1"/>
        <v>0</v>
      </c>
      <c r="E91" s="64"/>
    </row>
    <row r="92" spans="3:5">
      <c r="C92" s="59" t="str">
        <f t="shared" si="1"/>
        <v>0</v>
      </c>
      <c r="E92" s="64"/>
    </row>
    <row r="93" spans="3:5">
      <c r="C93" s="59" t="str">
        <f t="shared" si="1"/>
        <v>0</v>
      </c>
      <c r="E93" s="64"/>
    </row>
    <row r="94" spans="3:5">
      <c r="C94" s="59" t="str">
        <f t="shared" si="1"/>
        <v>0</v>
      </c>
      <c r="E94" s="64"/>
    </row>
    <row r="95" spans="3:5">
      <c r="C95" s="59" t="str">
        <f t="shared" si="1"/>
        <v>0</v>
      </c>
      <c r="E95" s="64"/>
    </row>
    <row r="96" spans="3:5">
      <c r="C96" s="59" t="str">
        <f t="shared" si="1"/>
        <v>0</v>
      </c>
      <c r="E96" s="64"/>
    </row>
    <row r="97" spans="3:5">
      <c r="C97" s="59" t="str">
        <f t="shared" si="1"/>
        <v>0</v>
      </c>
      <c r="E97" s="64"/>
    </row>
    <row r="98" spans="3:5">
      <c r="C98" s="59" t="str">
        <f t="shared" si="1"/>
        <v>0</v>
      </c>
      <c r="E98" s="64"/>
    </row>
    <row r="99" spans="3:5">
      <c r="C99" s="59" t="str">
        <f t="shared" si="1"/>
        <v>0</v>
      </c>
      <c r="E99" s="64"/>
    </row>
    <row r="100" spans="3:5">
      <c r="C100" s="59" t="str">
        <f t="shared" si="1"/>
        <v>0</v>
      </c>
      <c r="E100" s="64"/>
    </row>
  </sheetData>
  <sheetProtection algorithmName="SHA-512" hashValue="huXKqzm8VnMcFCHLM80bX6K/TgZ8KdvmgAc1D2DbGbTFQgaTqlSkZZipf8BEAdDF+JsbteF/94FsYFZ2JzwNqw==" saltValue="EeeDsgQr1E2ZOU8nMNAjuw==" spinCount="100000" sheet="1" objects="1" scenarios="1"/>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EEA75E1-B533-4276-97EB-5EFFE58F6805}">
          <x14:formula1>
            <xm:f>HIDDEN!$H$2:$H$96</xm:f>
          </x14:formula1>
          <xm:sqref>A2:A96</xm:sqref>
        </x14:dataValidation>
        <x14:dataValidation type="list" allowBlank="1" showInputMessage="1" showErrorMessage="1" xr:uid="{E6125477-4EC4-4315-A52C-347ADE2864D8}">
          <x14:formula1>
            <xm:f>HIDDEN!$H$3:$H$96</xm:f>
          </x14:formula1>
          <xm:sqref>G2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9E818-26AF-4EDD-8745-F6048DE16E13}">
  <sheetPr codeName="Sheet6"/>
  <dimension ref="A1"/>
  <sheetViews>
    <sheetView tabSelected="1" zoomScale="70" zoomScaleNormal="70" workbookViewId="0">
      <selection activeCell="M38" sqref="M38"/>
    </sheetView>
  </sheetViews>
  <sheetFormatPr defaultRowHeight="13.2"/>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80BC8-75B2-426B-8413-DD8B15117427}">
  <sheetPr codeName="Sheet7"/>
  <dimension ref="A1:O12"/>
  <sheetViews>
    <sheetView topLeftCell="C1" workbookViewId="0">
      <selection activeCell="F8" sqref="F8:J8"/>
    </sheetView>
  </sheetViews>
  <sheetFormatPr defaultRowHeight="13.2"/>
  <cols>
    <col min="1" max="1" width="30" customWidth="1"/>
    <col min="2" max="2" width="59" customWidth="1"/>
    <col min="3" max="3" width="33.33203125" bestFit="1" customWidth="1"/>
    <col min="5" max="5" width="13.33203125" bestFit="1" customWidth="1"/>
    <col min="6" max="6" width="2.44140625" customWidth="1"/>
    <col min="7" max="7" width="48.6640625" customWidth="1"/>
    <col min="8" max="8" width="2.5546875" customWidth="1"/>
    <col min="9" max="9" width="46.109375" customWidth="1"/>
    <col min="10" max="10" width="1.88671875" customWidth="1"/>
    <col min="11" max="11" width="32.44140625" bestFit="1" customWidth="1"/>
    <col min="12" max="12" width="17.44140625" customWidth="1"/>
    <col min="13" max="13" width="42.5546875" customWidth="1"/>
    <col min="14" max="14" width="33.109375" customWidth="1"/>
    <col min="15" max="15" width="12.44140625" customWidth="1"/>
  </cols>
  <sheetData>
    <row r="1" spans="1:15">
      <c r="A1" s="92" t="s">
        <v>74</v>
      </c>
      <c r="B1" s="92"/>
      <c r="C1" s="49" t="s">
        <v>77</v>
      </c>
      <c r="F1" s="90" t="s">
        <v>76</v>
      </c>
      <c r="G1" s="91"/>
      <c r="H1" s="91"/>
      <c r="I1" s="91"/>
      <c r="J1" s="91"/>
      <c r="K1" s="92" t="s">
        <v>78</v>
      </c>
      <c r="L1" s="93"/>
      <c r="M1" s="48" t="s">
        <v>79</v>
      </c>
      <c r="N1" s="92" t="s">
        <v>95</v>
      </c>
      <c r="O1" s="93"/>
    </row>
    <row r="2" spans="1:15" ht="15">
      <c r="A2" s="36" t="s">
        <v>70</v>
      </c>
      <c r="B2" s="36" t="str">
        <f>YEAR(SELECTOR!B3)&amp;MONTH(SELECTOR!B3)&amp;DAY(SELECTOR!B3)&amp;"|"&amp;SELECTOR!B9</f>
        <v>2020727|17327255</v>
      </c>
      <c r="D2" s="39"/>
      <c r="E2" s="39"/>
      <c r="F2" s="39"/>
    </row>
    <row r="3" spans="1:15" ht="15.6">
      <c r="A3" s="36" t="s">
        <v>71</v>
      </c>
      <c r="B3" s="37" t="str">
        <f>SELECTOR!B2</f>
        <v>MARCELO ENRIQUE POOL SKIADARESSIS</v>
      </c>
    </row>
    <row r="4" spans="1:15" ht="15">
      <c r="A4" s="36" t="s">
        <v>72</v>
      </c>
      <c r="B4" s="36" t="str">
        <f>LEFT(SELECTOR!B9,LEN(SELECTOR!B9)-6)&amp;"."&amp;LEFT(RIGHT(SELECTOR!B9,6),3)&amp;"."&amp;RIGHT(SELECTOR!B9,3)&amp;"-"&amp;SELECTOR!B10</f>
        <v>17.327.255-3</v>
      </c>
    </row>
    <row r="5" spans="1:15" ht="17.25" customHeight="1">
      <c r="A5" s="36" t="s">
        <v>73</v>
      </c>
      <c r="B5" s="38">
        <f>SELECTOR!B3</f>
        <v>44039</v>
      </c>
      <c r="M5">
        <f>ROUNDDOWN(K8,0)</f>
        <v>37</v>
      </c>
    </row>
    <row r="6" spans="1:15">
      <c r="C6" s="39" t="str">
        <f>TEXTS!A2&amp;" "&amp;TEXTS!B2</f>
        <v>Código de muestra: 2020727|17327255</v>
      </c>
      <c r="M6" t="str">
        <f>IF(M8=M7,"y ","sin embargo, ")</f>
        <v xml:space="preserve">y </v>
      </c>
    </row>
    <row r="7" spans="1:15" ht="14.4" thickBot="1">
      <c r="B7" t="str">
        <f>YEAR(SELECTOR!B3)&amp;MONTH(SELECTOR!B3)&amp;DAY(SELECTOR!B3)&amp;"-"&amp;SELECTOR!B9</f>
        <v>2020727-17327255</v>
      </c>
      <c r="D7" s="35">
        <f>ROUND(SELECTOR!B6,1)</f>
        <v>11.4</v>
      </c>
      <c r="E7" s="55" t="str">
        <f>"Media: "&amp;D7&amp;" Kb"</f>
        <v>Media: 11.4 Kb</v>
      </c>
      <c r="F7" s="40"/>
      <c r="G7" s="44"/>
      <c r="K7">
        <f>ROUND(SELECTOR!B4,1)</f>
        <v>43.4</v>
      </c>
      <c r="M7" t="str">
        <f>RANGES!B24</f>
        <v>es normal</v>
      </c>
    </row>
    <row r="8" spans="1:15" ht="24" thickTop="1" thickBot="1">
      <c r="D8" s="35">
        <f>ROUND(SELECTOR!B7,1)</f>
        <v>0.1</v>
      </c>
      <c r="E8" s="47"/>
      <c r="F8" s="46"/>
      <c r="G8" s="45" t="str">
        <f>"Media de la Longitud Telomérica (MLT) = "&amp;D7&amp;" ± "&amp;D8&amp;" Kb"</f>
        <v>Media de la Longitud Telomérica (MLT) = 11.4 ± 0.1 Kb</v>
      </c>
      <c r="H8" s="42"/>
      <c r="I8" s="43" t="s">
        <v>75</v>
      </c>
      <c r="K8">
        <f>ROUND(SELECTOR!B5,1)</f>
        <v>37.200000000000003</v>
      </c>
      <c r="M8" s="53" t="str">
        <f>IF(D7&gt;=RANGES!A5,RANGES!B5,IF(D7&gt;=RANGES!A4,RANGES!B4,IF(D7&gt;=RANGES!A3,RANGES!B3,IF(D7&gt;=RANGES!A2,RANGES!B2,RANGES!B1))))</f>
        <v>es normal</v>
      </c>
    </row>
    <row r="9" spans="1:15" ht="14.4" thickTop="1">
      <c r="K9" s="56" t="s">
        <v>110</v>
      </c>
      <c r="L9" s="57" t="str">
        <f>K7&amp;" años"</f>
        <v>43.4 años</v>
      </c>
      <c r="M9" s="51">
        <f>INT(K8/10)*10</f>
        <v>30</v>
      </c>
    </row>
    <row r="10" spans="1:15" ht="13.8">
      <c r="K10" s="58" t="s">
        <v>111</v>
      </c>
      <c r="L10" s="57" t="str">
        <f>K8&amp;" años"</f>
        <v>37.2 años</v>
      </c>
      <c r="M10" s="51">
        <f>M9+10</f>
        <v>40</v>
      </c>
      <c r="N10">
        <f>ROUNDUP(RANGES!A28,0)</f>
        <v>41</v>
      </c>
    </row>
    <row r="11" spans="1:15" ht="79.5" customHeight="1">
      <c r="M11" s="52" t="str">
        <f>"La media de su longitud telomérica estimada "&amp;M8&amp;" comparada con los largos descritos para Leucocitos, "&amp;M6&amp;M7&amp;" para el grupo de "&amp;M5&amp;" años de edad"</f>
        <v>La media de su longitud telomérica estimada es normal comparada con los largos descritos para Leucocitos, y es normal para el grupo de 37 años de edad</v>
      </c>
    </row>
    <row r="12" spans="1:15" ht="158.4">
      <c r="N12" s="54" t="str">
        <f>"Este gráfico muestra la media de su longitud telomérica comparada con otra gente de su edad. 
Cada banda de color representa un rango de percentiles de nuestra base de datos."&amp;" Por lo tanto, es mejor si su resultado está ubicado en las bandas superiores. Según su resultado, se encuentra en el percentil "&amp;N10&amp;", lo que significa que "&amp;N10&amp;"% de las personas de su edad tienen una longitud telomérica media más corta."</f>
        <v>Este gráfico muestra la media de su longitud telomérica comparada con otra gente de su edad. 
Cada banda de color representa un rango de percentiles de nuestra base de datos. Por lo tanto, es mejor si su resultado está ubicado en las bandas superiores. Según su resultado, se encuentra en el percentil 41, lo que significa que 41% de las personas de su edad tienen una longitud telomérica media más corta.</v>
      </c>
    </row>
  </sheetData>
  <sheetProtection selectLockedCells="1" selectUnlockedCells="1"/>
  <mergeCells count="4">
    <mergeCell ref="F1:J1"/>
    <mergeCell ref="A1:B1"/>
    <mergeCell ref="K1:L1"/>
    <mergeCell ref="N1:O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outlinePr summaryBelow="0" summaryRight="0"/>
  </sheetPr>
  <dimension ref="A1:AZ1002"/>
  <sheetViews>
    <sheetView zoomScale="60" zoomScaleNormal="60" workbookViewId="0">
      <pane xSplit="9" ySplit="1" topLeftCell="AE2" activePane="bottomRight" state="frozen"/>
      <selection pane="topRight" activeCell="H1" sqref="H1"/>
      <selection pane="bottomLeft" activeCell="A2" sqref="A2"/>
      <selection pane="bottomRight" activeCell="B5" sqref="B5"/>
    </sheetView>
  </sheetViews>
  <sheetFormatPr defaultColWidth="14.44140625" defaultRowHeight="15.75" customHeight="1"/>
  <cols>
    <col min="1" max="1" width="19.109375" bestFit="1" customWidth="1"/>
    <col min="2" max="2" width="2.44140625" bestFit="1" customWidth="1"/>
    <col min="3" max="3" width="34.88671875" bestFit="1" customWidth="1"/>
    <col min="4" max="4" width="11.109375" bestFit="1" customWidth="1"/>
    <col min="5" max="5" width="4" customWidth="1"/>
    <col min="6" max="6" width="12" bestFit="1" customWidth="1"/>
    <col min="7" max="7" width="10.109375" bestFit="1" customWidth="1"/>
    <col min="8" max="8" width="7.88671875" customWidth="1"/>
    <col min="9" max="9" width="8.5546875" bestFit="1" customWidth="1"/>
    <col min="10" max="10" width="9.6640625" style="30" bestFit="1" customWidth="1"/>
    <col min="11" max="11" width="9.33203125" bestFit="1" customWidth="1"/>
    <col min="12" max="12" width="4.88671875" bestFit="1" customWidth="1"/>
    <col min="13" max="13" width="6.88671875" bestFit="1" customWidth="1"/>
    <col min="14" max="15" width="5.5546875" bestFit="1" customWidth="1"/>
    <col min="16" max="16" width="8" bestFit="1" customWidth="1"/>
    <col min="17" max="17" width="9.109375" bestFit="1" customWidth="1"/>
    <col min="18" max="18" width="8.6640625" bestFit="1" customWidth="1"/>
    <col min="19" max="19" width="9.88671875" bestFit="1" customWidth="1"/>
    <col min="20" max="20" width="10.5546875" bestFit="1" customWidth="1"/>
    <col min="21" max="21" width="11.33203125" bestFit="1" customWidth="1"/>
    <col min="22" max="22" width="6.5546875" bestFit="1" customWidth="1"/>
    <col min="23" max="23" width="5.44140625" bestFit="1" customWidth="1"/>
    <col min="24" max="24" width="8" bestFit="1" customWidth="1"/>
    <col min="25" max="25" width="7" bestFit="1" customWidth="1"/>
    <col min="26" max="26" width="5.109375" bestFit="1" customWidth="1"/>
    <col min="27" max="27" width="5.88671875" bestFit="1" customWidth="1"/>
    <col min="28" max="28" width="5.5546875" bestFit="1" customWidth="1"/>
    <col min="29" max="29" width="6.33203125" bestFit="1" customWidth="1"/>
    <col min="30" max="30" width="13.44140625" bestFit="1" customWidth="1"/>
    <col min="31" max="31" width="12" bestFit="1" customWidth="1"/>
    <col min="32" max="32" width="12.5546875" bestFit="1" customWidth="1"/>
    <col min="33" max="35" width="7.5546875" bestFit="1" customWidth="1"/>
    <col min="36" max="36" width="11.5546875" bestFit="1" customWidth="1"/>
    <col min="37" max="37" width="14.88671875" bestFit="1" customWidth="1"/>
    <col min="38" max="38" width="6.33203125" bestFit="1" customWidth="1"/>
    <col min="39" max="39" width="10.44140625" bestFit="1" customWidth="1"/>
    <col min="40" max="40" width="6.88671875" bestFit="1" customWidth="1"/>
    <col min="41" max="41" width="6.33203125" bestFit="1" customWidth="1"/>
    <col min="42" max="42" width="8.33203125" bestFit="1" customWidth="1"/>
    <col min="43" max="43" width="9.109375" bestFit="1" customWidth="1"/>
    <col min="44" max="44" width="8.33203125" bestFit="1" customWidth="1"/>
    <col min="45" max="45" width="7.6640625" bestFit="1" customWidth="1"/>
    <col min="46" max="46" width="6.5546875" bestFit="1" customWidth="1"/>
    <col min="47" max="47" width="6.88671875" bestFit="1" customWidth="1"/>
    <col min="48" max="48" width="18.33203125" bestFit="1" customWidth="1"/>
    <col min="49" max="49" width="8.5546875" bestFit="1" customWidth="1"/>
    <col min="50" max="50" width="5.6640625" customWidth="1"/>
    <col min="51" max="52" width="16.5546875" customWidth="1"/>
  </cols>
  <sheetData>
    <row r="1" spans="1:52" ht="13.2">
      <c r="A1" s="31"/>
      <c r="B1" s="31"/>
      <c r="C1" s="5"/>
      <c r="D1" s="5" t="s">
        <v>34</v>
      </c>
      <c r="E1" s="5" t="s">
        <v>35</v>
      </c>
      <c r="F1" s="5" t="s">
        <v>36</v>
      </c>
      <c r="G1" s="13" t="s">
        <v>52</v>
      </c>
      <c r="H1" s="5" t="s">
        <v>63</v>
      </c>
      <c r="I1" s="5" t="s">
        <v>64</v>
      </c>
      <c r="J1" s="29" t="s">
        <v>4</v>
      </c>
      <c r="K1" s="6" t="s">
        <v>4</v>
      </c>
      <c r="L1" s="6" t="s">
        <v>4</v>
      </c>
      <c r="M1" s="6" t="s">
        <v>8</v>
      </c>
      <c r="N1" s="6" t="s">
        <v>8</v>
      </c>
      <c r="O1" s="6" t="s">
        <v>8</v>
      </c>
      <c r="P1" s="5" t="s">
        <v>37</v>
      </c>
      <c r="Q1" s="5" t="s">
        <v>38</v>
      </c>
      <c r="R1" s="5" t="s">
        <v>39</v>
      </c>
      <c r="S1" s="5" t="s">
        <v>40</v>
      </c>
      <c r="T1" s="5" t="s">
        <v>41</v>
      </c>
      <c r="U1" s="5" t="s">
        <v>42</v>
      </c>
      <c r="V1" s="5" t="s">
        <v>43</v>
      </c>
      <c r="W1" s="5" t="s">
        <v>44</v>
      </c>
      <c r="X1" s="5" t="s">
        <v>45</v>
      </c>
      <c r="Y1" s="5" t="s">
        <v>46</v>
      </c>
      <c r="Z1" s="5" t="s">
        <v>47</v>
      </c>
      <c r="AA1" s="5" t="s">
        <v>48</v>
      </c>
      <c r="AB1" s="5" t="s">
        <v>49</v>
      </c>
      <c r="AC1" s="5" t="s">
        <v>50</v>
      </c>
      <c r="AD1" s="6" t="s">
        <v>134</v>
      </c>
      <c r="AE1" s="6" t="s">
        <v>135</v>
      </c>
      <c r="AF1" s="6" t="s">
        <v>136</v>
      </c>
      <c r="AG1" s="6" t="s">
        <v>49</v>
      </c>
      <c r="AH1" s="6" t="s">
        <v>50</v>
      </c>
      <c r="AI1" s="6" t="s">
        <v>51</v>
      </c>
      <c r="AJ1" s="6" t="s">
        <v>96</v>
      </c>
      <c r="AK1" s="6"/>
      <c r="AL1" s="12" t="s">
        <v>32</v>
      </c>
      <c r="AM1" s="5" t="s">
        <v>53</v>
      </c>
      <c r="AN1" s="6" t="s">
        <v>138</v>
      </c>
      <c r="AO1" s="6" t="s">
        <v>57</v>
      </c>
      <c r="AP1" s="5" t="s">
        <v>54</v>
      </c>
      <c r="AQ1" s="6" t="s">
        <v>131</v>
      </c>
      <c r="AR1" s="6" t="s">
        <v>129</v>
      </c>
      <c r="AS1" s="6" t="s">
        <v>130</v>
      </c>
      <c r="AT1" s="5" t="s">
        <v>55</v>
      </c>
      <c r="AU1" s="6" t="s">
        <v>133</v>
      </c>
      <c r="AV1" s="5" t="s">
        <v>56</v>
      </c>
      <c r="AW1" s="14" t="s">
        <v>57</v>
      </c>
      <c r="AX1" s="15" t="s">
        <v>32</v>
      </c>
      <c r="AY1" s="5" t="s">
        <v>33</v>
      </c>
      <c r="AZ1" s="6" t="s">
        <v>33</v>
      </c>
    </row>
    <row r="2" spans="1:52" ht="13.2">
      <c r="A2" s="27"/>
      <c r="B2" s="27"/>
      <c r="C2" s="6"/>
      <c r="D2" s="6"/>
      <c r="E2" s="6"/>
      <c r="F2" s="22"/>
      <c r="G2" s="13"/>
      <c r="H2" s="23"/>
      <c r="I2" s="23">
        <f>IFERROR(AVERAGE(M3:O3),"")</f>
        <v>24.21</v>
      </c>
      <c r="J2" s="30">
        <v>1</v>
      </c>
      <c r="K2" s="30">
        <v>2</v>
      </c>
      <c r="L2" s="30">
        <v>3</v>
      </c>
      <c r="M2" s="30">
        <v>1</v>
      </c>
      <c r="N2" s="30">
        <v>2</v>
      </c>
      <c r="O2" s="30">
        <v>3</v>
      </c>
      <c r="P2" s="6"/>
      <c r="Q2" s="6"/>
      <c r="R2" s="6"/>
      <c r="S2" s="6"/>
      <c r="T2" s="6"/>
      <c r="U2" s="6"/>
      <c r="V2" s="6"/>
      <c r="W2" s="6"/>
      <c r="X2" s="6"/>
      <c r="Y2" s="6"/>
      <c r="Z2" s="6"/>
      <c r="AA2" s="6"/>
      <c r="AB2" s="6"/>
      <c r="AC2" s="6"/>
      <c r="AD2" s="17">
        <f>AVERAGE(AD3:AD99)</f>
        <v>86.829440984737843</v>
      </c>
      <c r="AE2" s="17"/>
      <c r="AF2" s="17"/>
      <c r="AG2" s="17"/>
      <c r="AH2" s="17"/>
      <c r="AI2" s="17"/>
      <c r="AJ2" s="6"/>
      <c r="AK2" s="6"/>
      <c r="AL2" s="12"/>
      <c r="AM2" s="6"/>
      <c r="AN2" s="6"/>
      <c r="AO2" s="6"/>
      <c r="AP2" s="6"/>
      <c r="AQ2" s="6"/>
      <c r="AR2" s="6"/>
      <c r="AS2" s="6"/>
      <c r="AT2" s="85">
        <f>SQRT(SUM(AT5:AT49)/COUNT(AT4:AT49))</f>
        <v>4.8715497718135694</v>
      </c>
      <c r="AU2" s="85">
        <f>AVERAGE(AU4:AU99)</f>
        <v>6.5379114822674964</v>
      </c>
      <c r="AV2" s="6"/>
      <c r="AW2" s="14"/>
      <c r="AX2" s="15"/>
      <c r="AY2" s="6"/>
      <c r="AZ2" s="6"/>
    </row>
    <row r="3" spans="1:52" ht="13.2">
      <c r="A3" s="7" t="str">
        <f t="array" ref="A3">HIDDEN!H2:H96</f>
        <v>REF</v>
      </c>
      <c r="B3" s="7"/>
      <c r="C3" s="7" t="s">
        <v>15</v>
      </c>
      <c r="D3" s="16"/>
      <c r="E3" s="16"/>
      <c r="F3" s="22">
        <f>'3)PACIENTES'!$F$2</f>
        <v>44039</v>
      </c>
      <c r="G3" s="20"/>
      <c r="H3" s="17">
        <f t="shared" ref="H3:H66" si="0">IFERROR(AVERAGE(J3:L3),"")</f>
        <v>15.03</v>
      </c>
      <c r="I3" s="17">
        <f>I2</f>
        <v>24.21</v>
      </c>
      <c r="J3" s="32">
        <f t="array" ref="J3">IFERROR(INDEX('1)qPCR'!$E$2:$E$97,MATCH(INDEX(HIDDEN!$C$1:$C$96,SMALL(IF(HIDDEN!$B$1:$B$96=$A3&amp;";"&amp;J$1,ROW(HIDDEN!$B$1:$B$96)-ROW(INDEX(HIDDEN!$B$1:$B$96,1,1))+1),J$2)),'1)qPCR'!$A$2:$A$97,0)),"")</f>
        <v>15.03</v>
      </c>
      <c r="K3" s="32" t="str">
        <f t="array" ref="K3">IFERROR(INDEX('1)qPCR'!$E$2:$E$97,MATCH(INDEX(HIDDEN!$C$1:$C$96,SMALL(IF(HIDDEN!$B$1:$B$96=$A3&amp;";"&amp;K$1,ROW(HIDDEN!$B$1:$B$96)-ROW(INDEX(HIDDEN!$B$1:$B$96,1,1))+1),K$2)),'1)qPCR'!$A$2:$A$97,0)),"")</f>
        <v/>
      </c>
      <c r="L3" s="32" t="str">
        <f t="array" ref="L3">IFERROR(INDEX('1)qPCR'!$E$2:$E$97,MATCH(INDEX(HIDDEN!$C$1:$C$96,SMALL(IF(HIDDEN!$B$1:$B$96=$A3&amp;";"&amp;L$1,ROW(HIDDEN!$B$1:$B$96)-ROW(INDEX(HIDDEN!$B$1:$B$96,1,1))+1),L$2)),'1)qPCR'!$A$2:$A$97,0)),"")</f>
        <v/>
      </c>
      <c r="M3" s="32">
        <f t="array" ref="M3">IFERROR(INDEX('1)qPCR'!$E$2:$E$97,MATCH(INDEX(HIDDEN!$C$1:$C$96,SMALL(IF(HIDDEN!$B$1:$B$96=$A3&amp;";"&amp;M$1,ROW(HIDDEN!$B$1:$B$96)-ROW(INDEX(HIDDEN!$B$1:$B$96,1,1))+1),M$2)),'1)qPCR'!$A$2:$A$97,0)),"")</f>
        <v>24.21</v>
      </c>
      <c r="N3" s="32" t="str">
        <f t="array" ref="N3">IFERROR(INDEX('1)qPCR'!$E$2:$E$97,MATCH(INDEX(HIDDEN!$C$1:$C$96,SMALL(IF(HIDDEN!$B$1:$B$96=$A3&amp;";"&amp;N$1,ROW(HIDDEN!$B$1:$B$96)-ROW(INDEX(HIDDEN!$B$1:$B$96,1,1))+1),N$2)),'1)qPCR'!$A$2:$A$97,0)),"")</f>
        <v/>
      </c>
      <c r="O3" s="32" t="str">
        <f t="array" ref="O3">IFERROR(INDEX('1)qPCR'!$E$2:$E$97,MATCH(INDEX(HIDDEN!$C$1:$C$96,SMALL(IF(HIDDEN!$B$1:$B$96=$A3&amp;";"&amp;O$1,ROW(HIDDEN!$B$1:$B$96)-ROW(INDEX(HIDDEN!$B$1:$B$96,1,1))+1),O$2)),'1)qPCR'!$A$2:$A$97,0)),"")</f>
        <v/>
      </c>
      <c r="P3" s="7">
        <f t="shared" ref="P3:P34" si="1">IFERROR(_xlfn.STDEV.P(J3:L3),"")</f>
        <v>0</v>
      </c>
      <c r="Q3" s="18">
        <f>IFERROR(P3/H3,"")</f>
        <v>0</v>
      </c>
      <c r="R3" s="7">
        <f t="shared" ref="R3:R34" si="2">IFERROR(_xlfn.STDEV.P(M3:O3),"")</f>
        <v>0</v>
      </c>
      <c r="S3" s="18">
        <f>IFERROR(R3/I3,"")</f>
        <v>0</v>
      </c>
      <c r="T3" s="10">
        <f>IFERROR(H3-$H$3,"")</f>
        <v>0</v>
      </c>
      <c r="U3" s="10">
        <f>IFERROR(I3-$I$3,"")</f>
        <v>0</v>
      </c>
      <c r="V3" s="17">
        <f>IFERROR(T3-U3,"")</f>
        <v>0</v>
      </c>
      <c r="W3" s="17">
        <f>IFERROR(2^(-V3),"")</f>
        <v>1</v>
      </c>
      <c r="X3" s="17">
        <f>IFERROR(695*W3,"")</f>
        <v>695</v>
      </c>
      <c r="Y3" s="17">
        <f>IFERROR(16*W3,"")</f>
        <v>16</v>
      </c>
      <c r="Z3" s="17">
        <f>IFERROR(X3/92,"")</f>
        <v>7.5543478260869561</v>
      </c>
      <c r="AA3" s="17">
        <f>IFERROR(Y3/92,"")</f>
        <v>0.17391304347826086</v>
      </c>
      <c r="AB3" s="17">
        <f>IFERROR(Z3-AA3,"")</f>
        <v>7.3804347826086953</v>
      </c>
      <c r="AC3" s="17">
        <f>IFERROR(Z3+AA3,"")</f>
        <v>7.7282608695652169</v>
      </c>
      <c r="AD3" s="17">
        <f>IFERROR((SQRT(5715209-440000*Z3)+117)/22,"")</f>
        <v>75.608253130173793</v>
      </c>
      <c r="AE3" s="17">
        <f>IFERROR(-2*SQRT(1250*Z3+3989)+281,"")</f>
        <v>49.207551610422854</v>
      </c>
      <c r="AF3" s="17">
        <f>IFERROR((SQRT(1125529-60000*Z3)-257)/6,"")</f>
        <v>93.819931297627889</v>
      </c>
      <c r="AG3" s="17">
        <f>MIN(AD3:AF3)</f>
        <v>49.207551610422854</v>
      </c>
      <c r="AH3" s="17">
        <f>MAX(AD3:AF3)</f>
        <v>93.819931297627889</v>
      </c>
      <c r="AI3" s="17">
        <f>AVERAGE(AG3:AH3)</f>
        <v>71.513741454025364</v>
      </c>
      <c r="AJ3" s="17"/>
      <c r="AK3" s="17"/>
      <c r="AL3" s="17" t="str">
        <f>IFERROR(MAX(#REF!)-#REF!,"")</f>
        <v/>
      </c>
      <c r="AM3" s="17"/>
      <c r="AN3" s="17"/>
      <c r="AO3" s="17"/>
      <c r="AP3" s="17"/>
      <c r="AQ3" s="17"/>
      <c r="AR3" s="17"/>
      <c r="AS3" s="17"/>
      <c r="AT3" s="17"/>
      <c r="AU3" s="17"/>
      <c r="AW3" s="21"/>
    </row>
    <row r="4" spans="1:52" ht="13.2">
      <c r="A4" s="7" t="str">
        <f>HIDDEN!H3</f>
        <v>Marcelo</v>
      </c>
      <c r="B4" s="7">
        <f>IFERROR(MATCH(A4,'3)PACIENTES'!$A$2:$A$97,0),"")</f>
        <v>1</v>
      </c>
      <c r="C4" s="24" t="str">
        <f>IFERROR(INDEX('3)PACIENTES'!D$2:D$97,SAMPLES!$B4),"")</f>
        <v>MARCELO ENRIQUE POOL SKIADARESSIS</v>
      </c>
      <c r="D4" s="24">
        <f>IFERROR(INDEX('3)PACIENTES'!B$2:B$97,SAMPLES!$B4),"")</f>
        <v>17327255</v>
      </c>
      <c r="E4" s="24" t="str">
        <f>IFERROR(INDEX('3)PACIENTES'!$C$2:$C96,SAMPLES!$B4),"")</f>
        <v>3</v>
      </c>
      <c r="F4" s="22">
        <f>'3)PACIENTES'!$F$2</f>
        <v>44039</v>
      </c>
      <c r="G4" s="13" t="str">
        <f>IFERROR(INDEX('3)PACIENTES'!E$2:E$97,SAMPLES!$B4),"")</f>
        <v>20-05-1983</v>
      </c>
      <c r="H4" s="17">
        <f t="shared" si="0"/>
        <v>11.64</v>
      </c>
      <c r="I4" s="17">
        <f>IFERROR(AVERAGE(M4:O4),"")</f>
        <v>20.41</v>
      </c>
      <c r="J4" s="32">
        <f t="array" ref="J4">IFERROR(INDEX('1)qPCR'!$E$2:$E$97,MATCH(INDEX(HIDDEN!$C$1:$C$96,SMALL(IF(HIDDEN!$B$1:$B$96=$A4&amp;";"&amp;J$1,ROW(HIDDEN!$B$1:$B$96)-ROW(INDEX(HIDDEN!$B$1:$B$96,1,1))+1),J$2)),'1)qPCR'!$A$2:$A$97,0)),"")</f>
        <v>11.64</v>
      </c>
      <c r="K4" s="32" t="str">
        <f t="array" ref="K4">IFERROR(INDEX('1)qPCR'!$E$2:$E$97,MATCH(INDEX(HIDDEN!$C$1:$C$96,SMALL(IF(HIDDEN!$B$1:$B$96=$A4&amp;";"&amp;K$1,ROW(HIDDEN!$B$1:$B$96)-ROW(INDEX(HIDDEN!$B$1:$B$96,1,1))+1),K$2)),'1)qPCR'!$A$2:$A$97,0)),"")</f>
        <v/>
      </c>
      <c r="L4" s="32" t="str">
        <f t="array" ref="L4">IFERROR(INDEX('1)qPCR'!$E$2:$E$97,MATCH(INDEX(HIDDEN!$C$1:$C$96,SMALL(IF(HIDDEN!$B$1:$B$96=$A4&amp;";"&amp;L$1,ROW(HIDDEN!$B$1:$B$96)-ROW(INDEX(HIDDEN!$B$1:$B$96,1,1))+1),L$2)),'1)qPCR'!$A$2:$A$97,0)),"")</f>
        <v/>
      </c>
      <c r="M4" s="32">
        <f t="array" ref="M4">IFERROR(INDEX('1)qPCR'!$E$2:$E$97,MATCH(INDEX(HIDDEN!$C$1:$C$96,SMALL(IF(HIDDEN!$B$1:$B$96=$A4&amp;";"&amp;M$1,ROW(HIDDEN!$B$1:$B$96)-ROW(INDEX(HIDDEN!$B$1:$B$96,1,1))+1),M$2)),'1)qPCR'!$A$2:$A$97,0)),"")</f>
        <v>20.41</v>
      </c>
      <c r="N4" s="32" t="str">
        <f t="array" ref="N4">IFERROR(INDEX('1)qPCR'!$E$2:$E$97,MATCH(INDEX(HIDDEN!$C$1:$C$96,SMALL(IF(HIDDEN!$B$1:$B$96=$A4&amp;";"&amp;N$1,ROW(HIDDEN!$B$1:$B$96)-ROW(INDEX(HIDDEN!$B$1:$B$96,1,1))+1),N$2)),'1)qPCR'!$A$2:$A$97,0)),"")</f>
        <v/>
      </c>
      <c r="O4" s="32" t="str">
        <f t="array" ref="O4">IFERROR(INDEX('1)qPCR'!$E$2:$E$97,MATCH(INDEX(HIDDEN!$C$1:$C$96,SMALL(IF(HIDDEN!$B$1:$B$96=$A4&amp;";"&amp;O$1,ROW(HIDDEN!$B$1:$B$96)-ROW(INDEX(HIDDEN!$B$1:$B$96,1,1))+1),O$2)),'1)qPCR'!$A$2:$A$97,0)),"")</f>
        <v/>
      </c>
      <c r="P4" s="7">
        <f t="shared" si="1"/>
        <v>0</v>
      </c>
      <c r="Q4" s="18">
        <f t="shared" ref="Q4:Q49" si="3">IFERROR(P4/H4,"")</f>
        <v>0</v>
      </c>
      <c r="R4" s="7">
        <f t="shared" si="2"/>
        <v>0</v>
      </c>
      <c r="S4" s="18">
        <f t="shared" ref="S4:S49" si="4">IFERROR(R4/I4,"")</f>
        <v>0</v>
      </c>
      <c r="T4" s="10">
        <f>IFERROR(H4-$H$3,"")</f>
        <v>-3.3899999999999988</v>
      </c>
      <c r="U4" s="10">
        <f>IFERROR(I4-$I$3,"")</f>
        <v>-3.8000000000000007</v>
      </c>
      <c r="V4" s="17">
        <f>IFERROR(T4-U4,"")</f>
        <v>0.41000000000000192</v>
      </c>
      <c r="W4" s="17">
        <f>IFERROR(2^(-V4),"")</f>
        <v>0.75262337370553267</v>
      </c>
      <c r="X4" s="17">
        <f>IFERROR(695*W4,"")</f>
        <v>523.07324472534526</v>
      </c>
      <c r="Y4" s="17">
        <f t="shared" ref="Y4:Y14" si="5">IFERROR(16*W4,"")</f>
        <v>12.041973979288523</v>
      </c>
      <c r="Z4" s="17">
        <f t="shared" ref="Z4:Z67" si="6">IFERROR(X4/92,"")</f>
        <v>5.6855787470146222</v>
      </c>
      <c r="AA4" s="17">
        <f t="shared" ref="AA4:AA67" si="7">IFERROR(Y4/92,"")</f>
        <v>0.1308910215140057</v>
      </c>
      <c r="AB4" s="17">
        <f t="shared" ref="AB4:AB14" si="8">IFERROR(Z4-AA4,"")</f>
        <v>5.5546877255006164</v>
      </c>
      <c r="AC4" s="17">
        <f t="shared" ref="AC4:AC14" si="9">IFERROR(Z4+AA4,"")</f>
        <v>5.816469768528628</v>
      </c>
      <c r="AD4" s="17">
        <f t="shared" ref="AD4:AD67" si="10">IFERROR((SQRT(5715209-440000*Z4)+117)/22,"")</f>
        <v>86.801769773179018</v>
      </c>
      <c r="AE4" s="17">
        <f t="shared" ref="AE4:AE67" si="11">IFERROR(-2*SQRT(1250*Z4+3989)+281,"")</f>
        <v>70.325146884890131</v>
      </c>
      <c r="AF4" s="17">
        <f t="shared" ref="AF4:AF67" si="12">IFERROR((SQRT(1125529-60000*Z4)-257)/6,"")</f>
        <v>104.7767268457979</v>
      </c>
      <c r="AG4" s="17">
        <f>MIN(AD4:AF4)</f>
        <v>70.325146884890131</v>
      </c>
      <c r="AH4" s="17">
        <f t="shared" ref="AH4:AH67" si="13">MAX(AD4:AF4)</f>
        <v>104.7767268457979</v>
      </c>
      <c r="AI4" s="17">
        <f>AVERAGE(AG4:AH4)</f>
        <v>87.550936865344013</v>
      </c>
      <c r="AJ4" s="17">
        <f>IF(AP4="","",IF(AP4&lt;=RANGES!$A$8,1,IF(AP4&lt;=RANGES!$A$9,2,IF(AP4&lt;=RANGES!$A$10,3,IF(AP4&lt;=RANGES!$A$11,4,IF(AP4&lt;=RANGES!$A$12,5,IF(AP4&lt;=RANGES!$A$13,6,IF(AP4&lt;=RANGES!$A$14,7,8))))))))</f>
        <v>4</v>
      </c>
      <c r="AK4" s="17" t="str">
        <f ca="1">IFERROR(INDEX(RANGES!$C$7:$H$7,1,IF(AO4&lt;=INDIRECT("RANGES!C"&amp;7+AJ4),1,IF(AO4&lt;=INDIRECT("RANGES!D"&amp;7+AJ4),2,IF(AO4&lt;=INDIRECT("RANGES!E"&amp;7+AJ4),3,IF(AO4&lt;=INDIRECT("RANGES!F"&amp;7+AJ4),4,IF(AO4&lt;=INDIRECT("RANGES!G"&amp;7+AJ4),5,6)))))),"")</f>
        <v>normal superior</v>
      </c>
      <c r="AL4" s="17">
        <f t="shared" ref="AL4:AL35" si="14">IFERROR(AH4-AI4,"")</f>
        <v>17.225789980453882</v>
      </c>
      <c r="AM4" s="17">
        <f t="shared" ref="AM4:AM35" si="15">IFERROR(_xlfn.DAYS(F4,G4),"")</f>
        <v>13583</v>
      </c>
      <c r="AN4" s="17">
        <f>IFERROR(AP4+IF(AU4&gt;$AU$2,-1,1)*AU4,"")</f>
        <v>43.372522318571797</v>
      </c>
      <c r="AO4" s="17">
        <f>IFERROR(-0.0011*AN4^2+0.0117*AN4+12.958,"")</f>
        <v>11.396165249624779</v>
      </c>
      <c r="AP4" s="17">
        <f t="shared" ref="AP4:AP35" si="16">IFERROR(YEARFRAC(G4,F4),"")</f>
        <v>37.18611111111111</v>
      </c>
      <c r="AQ4" s="17">
        <f>IFERROR(-0.0011*AP4^2+0.0117*AP4+12.958,"")</f>
        <v>11.871989954475309</v>
      </c>
      <c r="AR4" s="17">
        <f>IFERROR(-2*10^(-5)*AP4^3+0.0024*AP4^2-0.1793*AP4+19.19,"")</f>
        <v>14.81284255023877</v>
      </c>
      <c r="AS4" s="17">
        <f>IFERROR(-4*10^(-6)*AP4^3+0.0009*AP4^2-0.1406*AP4+12.939,"")</f>
        <v>8.7494741132884943</v>
      </c>
      <c r="AT4" s="10">
        <f t="shared" ref="AT4:AT35" si="17">IFERROR((Z4-AQ4)^2,"")</f>
        <v>38.271683627795191</v>
      </c>
      <c r="AU4" s="10">
        <f>IFERROR(AT4^(1/2),"")</f>
        <v>6.1864112074606865</v>
      </c>
      <c r="AV4" s="7">
        <f t="shared" ref="AV4:AV35" si="18">IFERROR(MEDIAN(AB4:AC4),"")</f>
        <v>5.6855787470146222</v>
      </c>
      <c r="AW4" s="21">
        <f>IFERROR(AV4,"")</f>
        <v>5.6855787470146222</v>
      </c>
      <c r="AX4" s="21">
        <f t="shared" ref="AX4:AX35" si="19">IFERROR(AC4-AW4,"")</f>
        <v>0.13089102151400578</v>
      </c>
      <c r="AY4" s="7">
        <f>IFERROR(IF(AW4&gt;9.1,(AW4-9.1)*(16.5-2.5)/(12.5-9.1)+2.5,AW4/9.1),"")</f>
        <v>0.62478887329831012</v>
      </c>
      <c r="AZ4" s="7">
        <f>IFERROR(IF(AO4&gt;9.1,(AO4-9.1)*(16.5-2.5)/(12.5-9.1)+2.5,AO4/9.1),"")</f>
        <v>11.954798086690269</v>
      </c>
    </row>
    <row r="5" spans="1:52" ht="13.2">
      <c r="A5" s="7" t="str">
        <f>HIDDEN!H4</f>
        <v>Rafael</v>
      </c>
      <c r="B5" s="7">
        <f>IFERROR(MATCH(A5,'3)PACIENTES'!$A$2:$A$97,0),"")</f>
        <v>2</v>
      </c>
      <c r="C5" s="24" t="str">
        <f>IFERROR(INDEX('3)PACIENTES'!D$2:D$97,SAMPLES!$B5),"")</f>
        <v>RAFAEL ALEJANDRO MANIEU BRICEÑO</v>
      </c>
      <c r="D5" s="24">
        <f>IFERROR(INDEX('3)PACIENTES'!B$2:B$97,SAMPLES!$B5),"")</f>
        <v>7741546</v>
      </c>
      <c r="E5" s="24" t="str">
        <f>IFERROR(INDEX('3)PACIENTES'!$C$2:$C97,SAMPLES!$B5),"")</f>
        <v>7</v>
      </c>
      <c r="F5" s="22">
        <f>'3)PACIENTES'!$F$2</f>
        <v>44039</v>
      </c>
      <c r="G5" s="13" t="str">
        <f>IFERROR(INDEX('3)PACIENTES'!E$2:E$97,SAMPLES!$B5),"")</f>
        <v>13-11-1966</v>
      </c>
      <c r="H5" s="17">
        <f t="shared" si="0"/>
        <v>11.72</v>
      </c>
      <c r="I5" s="17">
        <f t="shared" ref="I5:I66" si="20">IFERROR(AVERAGE(M5:O5),"")</f>
        <v>19.8</v>
      </c>
      <c r="J5" s="32">
        <f t="array" ref="J5">IFERROR(INDEX('1)qPCR'!$E$2:$E$97,MATCH(INDEX(HIDDEN!$C$1:$C$96,SMALL(IF(HIDDEN!$B$1:$B$96=$A5&amp;";"&amp;J$1,ROW(HIDDEN!$B$1:$B$96)-ROW(INDEX(HIDDEN!$B$1:$B$96,1,1))+1),J$2)),'1)qPCR'!$A$2:$A$97,0)),"")</f>
        <v>11.72</v>
      </c>
      <c r="K5" s="32" t="str">
        <f t="array" ref="K5">IFERROR(INDEX('1)qPCR'!$E$2:$E$97,MATCH(INDEX(HIDDEN!$C$1:$C$96,SMALL(IF(HIDDEN!$B$1:$B$96=$A5&amp;";"&amp;K$1,ROW(HIDDEN!$B$1:$B$96)-ROW(INDEX(HIDDEN!$B$1:$B$96,1,1))+1),K$2)),'1)qPCR'!$A$2:$A$97,0)),"")</f>
        <v/>
      </c>
      <c r="L5" s="32" t="str">
        <f t="array" ref="L5">IFERROR(INDEX('1)qPCR'!$E$2:$E$97,MATCH(INDEX(HIDDEN!$C$1:$C$96,SMALL(IF(HIDDEN!$B$1:$B$96=$A5&amp;";"&amp;L$1,ROW(HIDDEN!$B$1:$B$96)-ROW(INDEX(HIDDEN!$B$1:$B$96,1,1))+1),L$2)),'1)qPCR'!$A$2:$A$97,0)),"")</f>
        <v/>
      </c>
      <c r="M5" s="32">
        <f t="array" ref="M5">IFERROR(INDEX('1)qPCR'!$E$2:$E$97,MATCH(INDEX(HIDDEN!$C$1:$C$96,SMALL(IF(HIDDEN!$B$1:$B$96=$A5&amp;";"&amp;M$1,ROW(HIDDEN!$B$1:$B$96)-ROW(INDEX(HIDDEN!$B$1:$B$96,1,1))+1),M$2)),'1)qPCR'!$A$2:$A$97,0)),"")</f>
        <v>19.8</v>
      </c>
      <c r="N5" s="32" t="str">
        <f t="array" ref="N5">IFERROR(INDEX('1)qPCR'!$E$2:$E$97,MATCH(INDEX(HIDDEN!$C$1:$C$96,SMALL(IF(HIDDEN!$B$1:$B$96=$A5&amp;";"&amp;N$1,ROW(HIDDEN!$B$1:$B$96)-ROW(INDEX(HIDDEN!$B$1:$B$96,1,1))+1),N$2)),'1)qPCR'!$A$2:$A$97,0)),"")</f>
        <v/>
      </c>
      <c r="O5" s="32" t="str">
        <f t="array" ref="O5">IFERROR(INDEX('1)qPCR'!$E$2:$E$97,MATCH(INDEX(HIDDEN!$C$1:$C$96,SMALL(IF(HIDDEN!$B$1:$B$96=$A5&amp;";"&amp;O$1,ROW(HIDDEN!$B$1:$B$96)-ROW(INDEX(HIDDEN!$B$1:$B$96,1,1))+1),O$2)),'1)qPCR'!$A$2:$A$97,0)),"")</f>
        <v/>
      </c>
      <c r="P5" s="7">
        <f t="shared" si="1"/>
        <v>0</v>
      </c>
      <c r="Q5" s="18">
        <f t="shared" si="3"/>
        <v>0</v>
      </c>
      <c r="R5" s="7">
        <f t="shared" si="2"/>
        <v>0</v>
      </c>
      <c r="S5" s="18">
        <f t="shared" si="4"/>
        <v>0</v>
      </c>
      <c r="T5" s="10">
        <f t="shared" ref="T5:T49" si="21">IFERROR(H5-$H$3,"")</f>
        <v>-3.3099999999999987</v>
      </c>
      <c r="U5" s="10">
        <f t="shared" ref="U5:U67" si="22">IFERROR(I5-$I$3,"")</f>
        <v>-4.41</v>
      </c>
      <c r="V5" s="17">
        <f t="shared" ref="V5:V67" si="23">IFERROR(T5-U5,"")</f>
        <v>1.1000000000000014</v>
      </c>
      <c r="W5" s="17">
        <f t="shared" ref="W5:W68" si="24">IFERROR(2^(-V5),"")</f>
        <v>0.46651649576840326</v>
      </c>
      <c r="X5" s="17">
        <f t="shared" ref="X5:X14" si="25">IFERROR(695*W5,"")</f>
        <v>324.22896455904026</v>
      </c>
      <c r="Y5" s="17">
        <f t="shared" si="5"/>
        <v>7.4642639322944522</v>
      </c>
      <c r="Z5" s="17">
        <f t="shared" si="6"/>
        <v>3.524227875641742</v>
      </c>
      <c r="AA5" s="17">
        <f t="shared" si="7"/>
        <v>8.1133303611896218E-2</v>
      </c>
      <c r="AB5" s="17">
        <f t="shared" si="8"/>
        <v>3.4430945720298456</v>
      </c>
      <c r="AC5" s="17">
        <f t="shared" si="9"/>
        <v>3.6053611792536384</v>
      </c>
      <c r="AD5" s="17">
        <f t="shared" si="10"/>
        <v>98.078300050860705</v>
      </c>
      <c r="AE5" s="17">
        <f t="shared" si="11"/>
        <v>97.759340270209918</v>
      </c>
      <c r="AF5" s="17">
        <f t="shared" si="12"/>
        <v>116.51214453903954</v>
      </c>
      <c r="AG5" s="17">
        <f t="shared" ref="AG5:AG67" si="26">MIN(AD5:AF5)</f>
        <v>97.759340270209918</v>
      </c>
      <c r="AH5" s="17">
        <f t="shared" si="13"/>
        <v>116.51214453903954</v>
      </c>
      <c r="AI5" s="17">
        <f t="shared" ref="AI5:AI67" si="27">AVERAGE(AG5:AH5)</f>
        <v>107.13574240462472</v>
      </c>
      <c r="AJ5" s="17">
        <f>IF(AP5="","",IF(AP5&lt;=RANGES!$A$8,1,IF(AP5&lt;=RANGES!$A$9,2,IF(AP5&lt;=RANGES!$A$10,3,IF(AP5&lt;=RANGES!$A$11,4,IF(AP5&lt;=RANGES!$A$12,5,IF(AP5&lt;=RANGES!$A$13,6,IF(AP5&lt;=RANGES!$A$14,7,8))))))))</f>
        <v>5</v>
      </c>
      <c r="AK5" s="17" t="str">
        <f ca="1">IFERROR(INDEX(RANGES!$C$7:$H$7,1,IF(AO5&lt;=INDIRECT("RANGES!C"&amp;7+AJ5),1,IF(AO5&lt;=INDIRECT("RANGES!D"&amp;7+AJ5),2,IF(AO5&lt;=INDIRECT("RANGES!E"&amp;7+AJ5),3,IF(AO5&lt;=INDIRECT("RANGES!F"&amp;7+AJ5),4,IF(AO5&lt;=INDIRECT("RANGES!G"&amp;7+AJ5),5,6)))))),"")</f>
        <v>normal superior</v>
      </c>
      <c r="AL5" s="17">
        <f t="shared" si="14"/>
        <v>9.3764021344148176</v>
      </c>
      <c r="AM5" s="17">
        <f t="shared" si="15"/>
        <v>19615</v>
      </c>
      <c r="AN5" s="17">
        <f t="shared" ref="AN5:AN68" si="28">IFERROR(AP5+IF(AU5&gt;$AU$2,-1,1)*AU5,"")</f>
        <v>46.816143798481249</v>
      </c>
      <c r="AO5" s="17">
        <f t="shared" ref="AO5:AO68" si="29">IFERROR(-0.0011*AN5^2+0.0117*AN5+12.958,"")</f>
        <v>11.094822430266149</v>
      </c>
      <c r="AP5" s="17">
        <f t="shared" si="16"/>
        <v>53.705555555555556</v>
      </c>
      <c r="AQ5" s="17">
        <f t="shared" ref="AQ5:AQ68" si="30">IFERROR(-0.0011*AP5^2+0.0117*AP5+12.958,"")</f>
        <v>10.413639632716048</v>
      </c>
      <c r="AR5" s="17">
        <f t="shared" ref="AR5:AR68" si="31">IFERROR(-2*10^(-5)*AP5^3+0.0024*AP5^2-0.1793*AP5+19.19,"")</f>
        <v>13.384837573515091</v>
      </c>
      <c r="AS5" s="17">
        <f t="shared" ref="AS5:AS68" si="32">IFERROR(-4*10^(-6)*AP5^3+0.0009*AP5^2-0.1406*AP5+12.939,"")</f>
        <v>7.3642480387770917</v>
      </c>
      <c r="AT5" s="10">
        <f t="shared" si="17"/>
        <v>47.463994358513681</v>
      </c>
      <c r="AU5" s="10">
        <f t="shared" ref="AU5:AU68" si="33">IFERROR(AT5^(1/2),"")</f>
        <v>6.8894117570743063</v>
      </c>
      <c r="AV5" s="7">
        <f t="shared" si="18"/>
        <v>3.524227875641742</v>
      </c>
      <c r="AW5" s="21">
        <f t="shared" ref="AW5:AW68" si="34">IFERROR(AV5,"")</f>
        <v>3.524227875641742</v>
      </c>
      <c r="AX5" s="21">
        <f t="shared" si="19"/>
        <v>8.1133303611896412E-2</v>
      </c>
      <c r="AY5" s="7">
        <f t="shared" ref="AY5:AY68" si="35">IFERROR(IF(AW5&gt;9.1,(AW5-9.1)*(16.5-2.5)/(12.5-9.1)+2.5,AW5/9.1),"")</f>
        <v>0.38727778853205957</v>
      </c>
      <c r="AZ5" s="7">
        <f t="shared" ref="AZ5:AZ68" si="36">IFERROR(IF(AO5&gt;9.1,(AO5-9.1)*(16.5-2.5)/(12.5-9.1)+2.5,AO5/9.1),"")</f>
        <v>10.713974712860614</v>
      </c>
    </row>
    <row r="6" spans="1:52" s="26" customFormat="1" ht="13.2">
      <c r="A6" s="7" t="str">
        <f>HIDDEN!H5</f>
        <v/>
      </c>
      <c r="B6" s="7" t="str">
        <f>IFERROR(MATCH(A6,'3)PACIENTES'!$A$2:$A$97,0),"")</f>
        <v/>
      </c>
      <c r="C6" s="24" t="str">
        <f>IFERROR(INDEX('3)PACIENTES'!D$2:D$97,SAMPLES!$B6),"")</f>
        <v/>
      </c>
      <c r="D6" s="24" t="str">
        <f>IFERROR(INDEX('3)PACIENTES'!B$2:B$97,SAMPLES!$B6),"")</f>
        <v/>
      </c>
      <c r="E6" s="24" t="str">
        <f>IFERROR(INDEX('3)PACIENTES'!$C$2:$C98,SAMPLES!$B6),"")</f>
        <v/>
      </c>
      <c r="F6" s="22">
        <f>'3)PACIENTES'!$F$2</f>
        <v>44039</v>
      </c>
      <c r="G6" s="13" t="str">
        <f>IFERROR(INDEX('3)PACIENTES'!E$2:E$97,SAMPLES!$B6),"")</f>
        <v/>
      </c>
      <c r="H6" s="17" t="str">
        <f t="shared" si="0"/>
        <v/>
      </c>
      <c r="I6" s="17" t="str">
        <f t="shared" si="20"/>
        <v/>
      </c>
      <c r="J6" s="32" t="str">
        <f t="array" ref="J6">IFERROR(INDEX('1)qPCR'!$E$2:$E$97,MATCH(INDEX(HIDDEN!$C$1:$C$96,SMALL(IF(HIDDEN!$B$1:$B$96=$A6&amp;";"&amp;J$1,ROW(HIDDEN!$B$1:$B$96)-ROW(INDEX(HIDDEN!$B$1:$B$96,1,1))+1),J$2)),'1)qPCR'!$A$2:$A$97,0)),"")</f>
        <v/>
      </c>
      <c r="K6" s="32" t="str">
        <f t="array" ref="K6">IFERROR(INDEX('1)qPCR'!$E$2:$E$97,MATCH(INDEX(HIDDEN!$C$1:$C$96,SMALL(IF(HIDDEN!$B$1:$B$96=$A6&amp;";"&amp;K$1,ROW(HIDDEN!$B$1:$B$96)-ROW(INDEX(HIDDEN!$B$1:$B$96,1,1))+1),K$2)),'1)qPCR'!$A$2:$A$97,0)),"")</f>
        <v/>
      </c>
      <c r="L6" s="32" t="str">
        <f t="array" ref="L6">IFERROR(INDEX('1)qPCR'!$E$2:$E$97,MATCH(INDEX(HIDDEN!$C$1:$C$96,SMALL(IF(HIDDEN!$B$1:$B$96=$A6&amp;";"&amp;L$1,ROW(HIDDEN!$B$1:$B$96)-ROW(INDEX(HIDDEN!$B$1:$B$96,1,1))+1),L$2)),'1)qPCR'!$A$2:$A$97,0)),"")</f>
        <v/>
      </c>
      <c r="M6" s="32" t="str">
        <f t="array" ref="M6">IFERROR(INDEX('1)qPCR'!$E$2:$E$97,MATCH(INDEX(HIDDEN!$C$1:$C$96,SMALL(IF(HIDDEN!$B$1:$B$96=$A6&amp;";"&amp;M$1,ROW(HIDDEN!$B$1:$B$96)-ROW(INDEX(HIDDEN!$B$1:$B$96,1,1))+1),M$2)),'1)qPCR'!$A$2:$A$97,0)),"")</f>
        <v/>
      </c>
      <c r="N6" s="32" t="str">
        <f t="array" ref="N6">IFERROR(INDEX('1)qPCR'!$E$2:$E$97,MATCH(INDEX(HIDDEN!$C$1:$C$96,SMALL(IF(HIDDEN!$B$1:$B$96=$A6&amp;";"&amp;N$1,ROW(HIDDEN!$B$1:$B$96)-ROW(INDEX(HIDDEN!$B$1:$B$96,1,1))+1),N$2)),'1)qPCR'!$A$2:$A$97,0)),"")</f>
        <v/>
      </c>
      <c r="O6" s="32" t="str">
        <f t="array" ref="O6">IFERROR(INDEX('1)qPCR'!$E$2:$E$97,MATCH(INDEX(HIDDEN!$C$1:$C$96,SMALL(IF(HIDDEN!$B$1:$B$96=$A6&amp;";"&amp;O$1,ROW(HIDDEN!$B$1:$B$96)-ROW(INDEX(HIDDEN!$B$1:$B$96,1,1))+1),O$2)),'1)qPCR'!$A$2:$A$97,0)),"")</f>
        <v/>
      </c>
      <c r="P6" s="7" t="str">
        <f t="shared" si="1"/>
        <v/>
      </c>
      <c r="Q6" s="18" t="str">
        <f t="shared" si="3"/>
        <v/>
      </c>
      <c r="R6" s="7" t="str">
        <f t="shared" si="2"/>
        <v/>
      </c>
      <c r="S6" s="18" t="str">
        <f t="shared" si="4"/>
        <v/>
      </c>
      <c r="T6" s="10" t="str">
        <f t="shared" si="21"/>
        <v/>
      </c>
      <c r="U6" s="10" t="str">
        <f t="shared" si="22"/>
        <v/>
      </c>
      <c r="V6" s="17" t="str">
        <f t="shared" si="23"/>
        <v/>
      </c>
      <c r="W6" s="17" t="str">
        <f t="shared" si="24"/>
        <v/>
      </c>
      <c r="X6" s="17" t="str">
        <f t="shared" si="25"/>
        <v/>
      </c>
      <c r="Y6" s="17" t="str">
        <f t="shared" si="5"/>
        <v/>
      </c>
      <c r="Z6" s="17" t="str">
        <f t="shared" si="6"/>
        <v/>
      </c>
      <c r="AA6" s="17" t="str">
        <f t="shared" si="7"/>
        <v/>
      </c>
      <c r="AB6" s="17" t="str">
        <f t="shared" si="8"/>
        <v/>
      </c>
      <c r="AC6" s="17" t="str">
        <f t="shared" si="9"/>
        <v/>
      </c>
      <c r="AD6" s="17" t="str">
        <f t="shared" si="10"/>
        <v/>
      </c>
      <c r="AE6" s="17" t="str">
        <f t="shared" si="11"/>
        <v/>
      </c>
      <c r="AF6" s="17" t="str">
        <f t="shared" si="12"/>
        <v/>
      </c>
      <c r="AG6" s="17">
        <f t="shared" si="26"/>
        <v>0</v>
      </c>
      <c r="AH6" s="17">
        <f t="shared" si="13"/>
        <v>0</v>
      </c>
      <c r="AI6" s="17">
        <f t="shared" si="27"/>
        <v>0</v>
      </c>
      <c r="AJ6" s="17" t="str">
        <f>IF(AP6="","",IF(AP6&lt;=RANGES!$A$8,1,IF(AP6&lt;=RANGES!$A$9,2,IF(AP6&lt;=RANGES!$A$10,3,IF(AP6&lt;=RANGES!$A$11,4,IF(AP6&lt;=RANGES!$A$12,5,IF(AP6&lt;=RANGES!$A$13,6,IF(AP6&lt;=RANGES!$A$14,7,8))))))))</f>
        <v/>
      </c>
      <c r="AK6" s="17" t="str">
        <f ca="1">IFERROR(INDEX(RANGES!$C$7:$H$7,1,IF(AO6&lt;=INDIRECT("RANGES!C"&amp;7+AJ6),1,IF(AO6&lt;=INDIRECT("RANGES!D"&amp;7+AJ6),2,IF(AO6&lt;=INDIRECT("RANGES!E"&amp;7+AJ6),3,IF(AO6&lt;=INDIRECT("RANGES!F"&amp;7+AJ6),4,IF(AO6&lt;=INDIRECT("RANGES!G"&amp;7+AJ6),5,6)))))),"")</f>
        <v/>
      </c>
      <c r="AL6" s="17">
        <f t="shared" si="14"/>
        <v>0</v>
      </c>
      <c r="AM6" s="17" t="str">
        <f t="shared" si="15"/>
        <v/>
      </c>
      <c r="AN6" s="17" t="str">
        <f t="shared" si="28"/>
        <v/>
      </c>
      <c r="AO6" s="17" t="str">
        <f t="shared" si="29"/>
        <v/>
      </c>
      <c r="AP6" s="17" t="str">
        <f t="shared" si="16"/>
        <v/>
      </c>
      <c r="AQ6" s="17" t="str">
        <f t="shared" si="30"/>
        <v/>
      </c>
      <c r="AR6" s="17" t="str">
        <f t="shared" si="31"/>
        <v/>
      </c>
      <c r="AS6" s="17" t="str">
        <f t="shared" si="32"/>
        <v/>
      </c>
      <c r="AT6" s="10" t="str">
        <f t="shared" si="17"/>
        <v/>
      </c>
      <c r="AU6" s="10" t="str">
        <f t="shared" si="33"/>
        <v/>
      </c>
      <c r="AV6" s="7" t="str">
        <f t="shared" si="18"/>
        <v/>
      </c>
      <c r="AW6" s="21" t="str">
        <f t="shared" si="34"/>
        <v/>
      </c>
      <c r="AX6" s="21" t="str">
        <f t="shared" si="19"/>
        <v/>
      </c>
      <c r="AY6" s="7" t="str">
        <f t="shared" si="35"/>
        <v/>
      </c>
      <c r="AZ6" s="7" t="str">
        <f t="shared" si="36"/>
        <v/>
      </c>
    </row>
    <row r="7" spans="1:52" ht="13.2">
      <c r="A7" s="7" t="str">
        <f>HIDDEN!H6</f>
        <v/>
      </c>
      <c r="B7" s="7" t="str">
        <f>IFERROR(MATCH(A7,'3)PACIENTES'!$A$2:$A$97,0),"")</f>
        <v/>
      </c>
      <c r="C7" s="24" t="str">
        <f>IFERROR(INDEX('3)PACIENTES'!D$2:D$97,SAMPLES!$B7),"")</f>
        <v/>
      </c>
      <c r="D7" s="24" t="str">
        <f>IFERROR(INDEX('3)PACIENTES'!B$2:B$97,SAMPLES!$B7),"")</f>
        <v/>
      </c>
      <c r="E7" s="24" t="str">
        <f>IFERROR(INDEX('3)PACIENTES'!$C$2:$C99,SAMPLES!$B7),"")</f>
        <v/>
      </c>
      <c r="F7" s="22">
        <f>'3)PACIENTES'!$F$2</f>
        <v>44039</v>
      </c>
      <c r="G7" s="13" t="str">
        <f>IFERROR(INDEX('3)PACIENTES'!E$2:E$97,SAMPLES!$B7),"")</f>
        <v/>
      </c>
      <c r="H7" s="17" t="str">
        <f t="shared" si="0"/>
        <v/>
      </c>
      <c r="I7" s="17" t="str">
        <f t="shared" si="20"/>
        <v/>
      </c>
      <c r="J7" s="32" t="str">
        <f t="array" ref="J7">IFERROR(INDEX('1)qPCR'!$E$2:$E$97,MATCH(INDEX(HIDDEN!$C$1:$C$96,SMALL(IF(HIDDEN!$B$1:$B$96=$A7&amp;";"&amp;J$1,ROW(HIDDEN!$B$1:$B$96)-ROW(INDEX(HIDDEN!$B$1:$B$96,1,1))+1),J$2)),'1)qPCR'!$A$2:$A$97,0)),"")</f>
        <v/>
      </c>
      <c r="K7" s="32" t="str">
        <f t="array" ref="K7">IFERROR(INDEX('1)qPCR'!$E$2:$E$97,MATCH(INDEX(HIDDEN!$C$1:$C$96,SMALL(IF(HIDDEN!$B$1:$B$96=$A7&amp;";"&amp;K$1,ROW(HIDDEN!$B$1:$B$96)-ROW(INDEX(HIDDEN!$B$1:$B$96,1,1))+1),K$2)),'1)qPCR'!$A$2:$A$97,0)),"")</f>
        <v/>
      </c>
      <c r="L7" s="32" t="str">
        <f t="array" ref="L7">IFERROR(INDEX('1)qPCR'!$E$2:$E$97,MATCH(INDEX(HIDDEN!$C$1:$C$96,SMALL(IF(HIDDEN!$B$1:$B$96=$A7&amp;";"&amp;L$1,ROW(HIDDEN!$B$1:$B$96)-ROW(INDEX(HIDDEN!$B$1:$B$96,1,1))+1),L$2)),'1)qPCR'!$A$2:$A$97,0)),"")</f>
        <v/>
      </c>
      <c r="M7" s="32" t="str">
        <f t="array" ref="M7">IFERROR(INDEX('1)qPCR'!$E$2:$E$97,MATCH(INDEX(HIDDEN!$C$1:$C$96,SMALL(IF(HIDDEN!$B$1:$B$96=$A7&amp;";"&amp;M$1,ROW(HIDDEN!$B$1:$B$96)-ROW(INDEX(HIDDEN!$B$1:$B$96,1,1))+1),M$2)),'1)qPCR'!$A$2:$A$97,0)),"")</f>
        <v/>
      </c>
      <c r="N7" s="32" t="str">
        <f t="array" ref="N7">IFERROR(INDEX('1)qPCR'!$E$2:$E$97,MATCH(INDEX(HIDDEN!$C$1:$C$96,SMALL(IF(HIDDEN!$B$1:$B$96=$A7&amp;";"&amp;N$1,ROW(HIDDEN!$B$1:$B$96)-ROW(INDEX(HIDDEN!$B$1:$B$96,1,1))+1),N$2)),'1)qPCR'!$A$2:$A$97,0)),"")</f>
        <v/>
      </c>
      <c r="O7" s="32" t="str">
        <f t="array" ref="O7">IFERROR(INDEX('1)qPCR'!$E$2:$E$97,MATCH(INDEX(HIDDEN!$C$1:$C$96,SMALL(IF(HIDDEN!$B$1:$B$96=$A7&amp;";"&amp;O$1,ROW(HIDDEN!$B$1:$B$96)-ROW(INDEX(HIDDEN!$B$1:$B$96,1,1))+1),O$2)),'1)qPCR'!$A$2:$A$97,0)),"")</f>
        <v/>
      </c>
      <c r="P7" s="7" t="str">
        <f t="shared" si="1"/>
        <v/>
      </c>
      <c r="Q7" s="18" t="str">
        <f t="shared" si="3"/>
        <v/>
      </c>
      <c r="R7" s="7" t="str">
        <f t="shared" si="2"/>
        <v/>
      </c>
      <c r="S7" s="18" t="str">
        <f t="shared" si="4"/>
        <v/>
      </c>
      <c r="T7" s="10" t="str">
        <f t="shared" si="21"/>
        <v/>
      </c>
      <c r="U7" s="10" t="str">
        <f t="shared" si="22"/>
        <v/>
      </c>
      <c r="V7" s="17" t="str">
        <f t="shared" si="23"/>
        <v/>
      </c>
      <c r="W7" s="17" t="str">
        <f t="shared" si="24"/>
        <v/>
      </c>
      <c r="X7" s="17" t="str">
        <f t="shared" si="25"/>
        <v/>
      </c>
      <c r="Y7" s="17" t="str">
        <f t="shared" si="5"/>
        <v/>
      </c>
      <c r="Z7" s="17" t="str">
        <f t="shared" si="6"/>
        <v/>
      </c>
      <c r="AA7" s="17" t="str">
        <f t="shared" si="7"/>
        <v/>
      </c>
      <c r="AB7" s="17" t="str">
        <f t="shared" si="8"/>
        <v/>
      </c>
      <c r="AC7" s="17" t="str">
        <f t="shared" si="9"/>
        <v/>
      </c>
      <c r="AD7" s="17" t="str">
        <f t="shared" si="10"/>
        <v/>
      </c>
      <c r="AE7" s="17" t="str">
        <f t="shared" si="11"/>
        <v/>
      </c>
      <c r="AF7" s="17" t="str">
        <f t="shared" si="12"/>
        <v/>
      </c>
      <c r="AG7" s="17">
        <f t="shared" si="26"/>
        <v>0</v>
      </c>
      <c r="AH7" s="17">
        <f t="shared" si="13"/>
        <v>0</v>
      </c>
      <c r="AI7" s="17">
        <f t="shared" si="27"/>
        <v>0</v>
      </c>
      <c r="AJ7" s="17" t="str">
        <f>IF(AP7="","",IF(AP7&lt;=RANGES!$A$8,1,IF(AP7&lt;=RANGES!$A$9,2,IF(AP7&lt;=RANGES!$A$10,3,IF(AP7&lt;=RANGES!$A$11,4,IF(AP7&lt;=RANGES!$A$12,5,IF(AP7&lt;=RANGES!$A$13,6,IF(AP7&lt;=RANGES!$A$14,7,8))))))))</f>
        <v/>
      </c>
      <c r="AK7" s="17" t="str">
        <f ca="1">IFERROR(INDEX(RANGES!$C$7:$H$7,1,IF(AO7&lt;=INDIRECT("RANGES!C"&amp;7+AJ7),1,IF(AO7&lt;=INDIRECT("RANGES!D"&amp;7+AJ7),2,IF(AO7&lt;=INDIRECT("RANGES!E"&amp;7+AJ7),3,IF(AO7&lt;=INDIRECT("RANGES!F"&amp;7+AJ7),4,IF(AO7&lt;=INDIRECT("RANGES!G"&amp;7+AJ7),5,6)))))),"")</f>
        <v/>
      </c>
      <c r="AL7" s="17">
        <f t="shared" si="14"/>
        <v>0</v>
      </c>
      <c r="AM7" s="17" t="str">
        <f t="shared" si="15"/>
        <v/>
      </c>
      <c r="AN7" s="17" t="str">
        <f>IFERROR(AP7+IF(AU7&gt;$AU$2,-1,1)*AU7,"")</f>
        <v/>
      </c>
      <c r="AO7" s="17" t="str">
        <f t="shared" si="29"/>
        <v/>
      </c>
      <c r="AP7" s="17" t="str">
        <f t="shared" si="16"/>
        <v/>
      </c>
      <c r="AQ7" s="17" t="str">
        <f t="shared" si="30"/>
        <v/>
      </c>
      <c r="AR7" s="17" t="str">
        <f t="shared" si="31"/>
        <v/>
      </c>
      <c r="AS7" s="17" t="str">
        <f t="shared" si="32"/>
        <v/>
      </c>
      <c r="AT7" s="10" t="str">
        <f t="shared" si="17"/>
        <v/>
      </c>
      <c r="AU7" s="10" t="str">
        <f t="shared" si="33"/>
        <v/>
      </c>
      <c r="AV7" s="7" t="str">
        <f t="shared" si="18"/>
        <v/>
      </c>
      <c r="AW7" s="21" t="str">
        <f t="shared" si="34"/>
        <v/>
      </c>
      <c r="AX7" s="21" t="str">
        <f t="shared" si="19"/>
        <v/>
      </c>
      <c r="AY7" s="7" t="str">
        <f t="shared" si="35"/>
        <v/>
      </c>
      <c r="AZ7" s="7" t="str">
        <f t="shared" si="36"/>
        <v/>
      </c>
    </row>
    <row r="8" spans="1:52" s="26" customFormat="1" ht="13.2">
      <c r="A8" s="7" t="str">
        <f>HIDDEN!H7</f>
        <v/>
      </c>
      <c r="B8" s="7" t="str">
        <f>IFERROR(MATCH(A8,'3)PACIENTES'!$A$2:$A$97,0),"")</f>
        <v/>
      </c>
      <c r="C8" s="24" t="str">
        <f>IFERROR(INDEX('3)PACIENTES'!D$2:D$97,SAMPLES!$B8),"")</f>
        <v/>
      </c>
      <c r="D8" s="24" t="str">
        <f>IFERROR(INDEX('3)PACIENTES'!B$2:B$97,SAMPLES!$B8),"")</f>
        <v/>
      </c>
      <c r="E8" s="24" t="str">
        <f>IFERROR(INDEX('3)PACIENTES'!$C$2:$C100,SAMPLES!$B8),"")</f>
        <v/>
      </c>
      <c r="F8" s="22">
        <f>'3)PACIENTES'!$F$2</f>
        <v>44039</v>
      </c>
      <c r="G8" s="13" t="str">
        <f>IFERROR(INDEX('3)PACIENTES'!E$2:E$97,SAMPLES!$B8),"")</f>
        <v/>
      </c>
      <c r="H8" s="17" t="str">
        <f t="shared" si="0"/>
        <v/>
      </c>
      <c r="I8" s="17" t="str">
        <f>IFERROR(AVERAGE(M8:O8),"")</f>
        <v/>
      </c>
      <c r="J8" s="32" t="str">
        <f t="array" ref="J8">IFERROR(INDEX('1)qPCR'!$E$2:$E$97,MATCH(INDEX(HIDDEN!$C$1:$C$96,SMALL(IF(HIDDEN!$B$1:$B$96=$A8&amp;";"&amp;J$1,ROW(HIDDEN!$B$1:$B$96)-ROW(INDEX(HIDDEN!$B$1:$B$96,1,1))+1),J$2)),'1)qPCR'!$A$2:$A$97,0)),"")</f>
        <v/>
      </c>
      <c r="K8" s="32" t="str">
        <f t="array" ref="K8">IFERROR(INDEX('1)qPCR'!$E$2:$E$97,MATCH(INDEX(HIDDEN!$C$1:$C$96,SMALL(IF(HIDDEN!$B$1:$B$96=$A8&amp;";"&amp;K$1,ROW(HIDDEN!$B$1:$B$96)-ROW(INDEX(HIDDEN!$B$1:$B$96,1,1))+1),K$2)),'1)qPCR'!$A$2:$A$97,0)),"")</f>
        <v/>
      </c>
      <c r="L8" s="32" t="str">
        <f t="array" ref="L8">IFERROR(INDEX('1)qPCR'!$E$2:$E$97,MATCH(INDEX(HIDDEN!$C$1:$C$96,SMALL(IF(HIDDEN!$B$1:$B$96=$A8&amp;";"&amp;L$1,ROW(HIDDEN!$B$1:$B$96)-ROW(INDEX(HIDDEN!$B$1:$B$96,1,1))+1),L$2)),'1)qPCR'!$A$2:$A$97,0)),"")</f>
        <v/>
      </c>
      <c r="M8" s="32" t="str">
        <f t="array" ref="M8">IFERROR(INDEX('1)qPCR'!$E$2:$E$97,MATCH(INDEX(HIDDEN!$C$1:$C$96,SMALL(IF(HIDDEN!$B$1:$B$96=$A8&amp;";"&amp;M$1,ROW(HIDDEN!$B$1:$B$96)-ROW(INDEX(HIDDEN!$B$1:$B$96,1,1))+1),M$2)),'1)qPCR'!$A$2:$A$97,0)),"")</f>
        <v/>
      </c>
      <c r="N8" s="32" t="str">
        <f t="array" ref="N8">IFERROR(INDEX('1)qPCR'!$E$2:$E$97,MATCH(INDEX(HIDDEN!$C$1:$C$96,SMALL(IF(HIDDEN!$B$1:$B$96=$A8&amp;";"&amp;N$1,ROW(HIDDEN!$B$1:$B$96)-ROW(INDEX(HIDDEN!$B$1:$B$96,1,1))+1),N$2)),'1)qPCR'!$A$2:$A$97,0)),"")</f>
        <v/>
      </c>
      <c r="O8" s="32" t="str">
        <f t="array" ref="O8">IFERROR(INDEX('1)qPCR'!$E$2:$E$97,MATCH(INDEX(HIDDEN!$C$1:$C$96,SMALL(IF(HIDDEN!$B$1:$B$96=$A8&amp;";"&amp;O$1,ROW(HIDDEN!$B$1:$B$96)-ROW(INDEX(HIDDEN!$B$1:$B$96,1,1))+1),O$2)),'1)qPCR'!$A$2:$A$97,0)),"")</f>
        <v/>
      </c>
      <c r="P8" s="7" t="str">
        <f t="shared" si="1"/>
        <v/>
      </c>
      <c r="Q8" s="18" t="str">
        <f t="shared" si="3"/>
        <v/>
      </c>
      <c r="R8" s="7" t="str">
        <f t="shared" si="2"/>
        <v/>
      </c>
      <c r="S8" s="18" t="str">
        <f t="shared" si="4"/>
        <v/>
      </c>
      <c r="T8" s="10" t="str">
        <f t="shared" si="21"/>
        <v/>
      </c>
      <c r="U8" s="10" t="str">
        <f t="shared" si="22"/>
        <v/>
      </c>
      <c r="V8" s="17" t="str">
        <f t="shared" si="23"/>
        <v/>
      </c>
      <c r="W8" s="17" t="str">
        <f t="shared" si="24"/>
        <v/>
      </c>
      <c r="X8" s="17" t="str">
        <f t="shared" si="25"/>
        <v/>
      </c>
      <c r="Y8" s="17" t="str">
        <f t="shared" si="5"/>
        <v/>
      </c>
      <c r="Z8" s="17" t="str">
        <f t="shared" si="6"/>
        <v/>
      </c>
      <c r="AA8" s="17" t="str">
        <f t="shared" si="7"/>
        <v/>
      </c>
      <c r="AB8" s="17" t="str">
        <f t="shared" si="8"/>
        <v/>
      </c>
      <c r="AC8" s="17" t="str">
        <f t="shared" si="9"/>
        <v/>
      </c>
      <c r="AD8" s="17" t="str">
        <f t="shared" si="10"/>
        <v/>
      </c>
      <c r="AE8" s="17" t="str">
        <f t="shared" si="11"/>
        <v/>
      </c>
      <c r="AF8" s="17" t="str">
        <f t="shared" si="12"/>
        <v/>
      </c>
      <c r="AG8" s="17">
        <f t="shared" si="26"/>
        <v>0</v>
      </c>
      <c r="AH8" s="17">
        <f t="shared" si="13"/>
        <v>0</v>
      </c>
      <c r="AI8" s="17">
        <f t="shared" si="27"/>
        <v>0</v>
      </c>
      <c r="AJ8" s="17" t="str">
        <f>IF(AP8="","",IF(AP8&lt;=RANGES!$A$8,1,IF(AP8&lt;=RANGES!$A$9,2,IF(AP8&lt;=RANGES!$A$10,3,IF(AP8&lt;=RANGES!$A$11,4,IF(AP8&lt;=RANGES!$A$12,5,IF(AP8&lt;=RANGES!$A$13,6,IF(AP8&lt;=RANGES!$A$14,7,8))))))))</f>
        <v/>
      </c>
      <c r="AK8" s="17" t="str">
        <f ca="1">IFERROR(INDEX(RANGES!$C$7:$H$7,1,IF(AO8&lt;=INDIRECT("RANGES!C"&amp;7+AJ8),1,IF(AO8&lt;=INDIRECT("RANGES!D"&amp;7+AJ8),2,IF(AO8&lt;=INDIRECT("RANGES!E"&amp;7+AJ8),3,IF(AO8&lt;=INDIRECT("RANGES!F"&amp;7+AJ8),4,IF(AO8&lt;=INDIRECT("RANGES!G"&amp;7+AJ8),5,6)))))),"")</f>
        <v/>
      </c>
      <c r="AL8" s="17">
        <f t="shared" si="14"/>
        <v>0</v>
      </c>
      <c r="AM8" s="17" t="str">
        <f t="shared" si="15"/>
        <v/>
      </c>
      <c r="AN8" s="17" t="str">
        <f t="shared" si="28"/>
        <v/>
      </c>
      <c r="AO8" s="17" t="str">
        <f t="shared" si="29"/>
        <v/>
      </c>
      <c r="AP8" s="17" t="str">
        <f t="shared" si="16"/>
        <v/>
      </c>
      <c r="AQ8" s="17" t="str">
        <f t="shared" si="30"/>
        <v/>
      </c>
      <c r="AR8" s="17" t="str">
        <f t="shared" si="31"/>
        <v/>
      </c>
      <c r="AS8" s="17" t="str">
        <f t="shared" si="32"/>
        <v/>
      </c>
      <c r="AT8" s="10" t="str">
        <f t="shared" si="17"/>
        <v/>
      </c>
      <c r="AU8" s="10" t="str">
        <f t="shared" si="33"/>
        <v/>
      </c>
      <c r="AV8" s="7" t="str">
        <f t="shared" si="18"/>
        <v/>
      </c>
      <c r="AW8" s="21" t="str">
        <f t="shared" si="34"/>
        <v/>
      </c>
      <c r="AX8" s="21" t="str">
        <f t="shared" si="19"/>
        <v/>
      </c>
      <c r="AY8" s="7" t="str">
        <f t="shared" si="35"/>
        <v/>
      </c>
      <c r="AZ8" s="7" t="str">
        <f t="shared" si="36"/>
        <v/>
      </c>
    </row>
    <row r="9" spans="1:52" ht="13.2">
      <c r="A9" s="7" t="str">
        <f>HIDDEN!H8</f>
        <v/>
      </c>
      <c r="B9" s="7" t="str">
        <f>IFERROR(MATCH(A9,'3)PACIENTES'!$A$2:$A$97,0),"")</f>
        <v/>
      </c>
      <c r="C9" s="24" t="str">
        <f>IFERROR(INDEX('3)PACIENTES'!D$2:D$97,SAMPLES!$B9),"")</f>
        <v/>
      </c>
      <c r="D9" s="24" t="str">
        <f>IFERROR(INDEX('3)PACIENTES'!B$2:B$97,SAMPLES!$B9),"")</f>
        <v/>
      </c>
      <c r="E9" s="24" t="str">
        <f>IFERROR(INDEX('3)PACIENTES'!$C$2:$C101,SAMPLES!$B9),"")</f>
        <v/>
      </c>
      <c r="F9" s="22">
        <f>'3)PACIENTES'!$F$2</f>
        <v>44039</v>
      </c>
      <c r="G9" s="13" t="str">
        <f>IFERROR(INDEX('3)PACIENTES'!E$2:E$97,SAMPLES!$B9),"")</f>
        <v/>
      </c>
      <c r="H9" s="17" t="str">
        <f t="shared" si="0"/>
        <v/>
      </c>
      <c r="I9" s="17" t="str">
        <f>IFERROR(AVERAGE(M9:O9),"")</f>
        <v/>
      </c>
      <c r="J9" s="32" t="str">
        <f t="array" ref="J9">IFERROR(INDEX('1)qPCR'!$E$2:$E$97,MATCH(INDEX(HIDDEN!$C$1:$C$96,SMALL(IF(HIDDEN!$B$1:$B$96=$A9&amp;";"&amp;J$1,ROW(HIDDEN!$B$1:$B$96)-ROW(INDEX(HIDDEN!$B$1:$B$96,1,1))+1),J$2)),'1)qPCR'!$A$2:$A$97,0)),"")</f>
        <v/>
      </c>
      <c r="K9" s="32" t="str">
        <f t="array" ref="K9">IFERROR(INDEX('1)qPCR'!$E$2:$E$97,MATCH(INDEX(HIDDEN!$C$1:$C$96,SMALL(IF(HIDDEN!$B$1:$B$96=$A9&amp;";"&amp;K$1,ROW(HIDDEN!$B$1:$B$96)-ROW(INDEX(HIDDEN!$B$1:$B$96,1,1))+1),K$2)),'1)qPCR'!$A$2:$A$97,0)),"")</f>
        <v/>
      </c>
      <c r="L9" s="32" t="str">
        <f t="array" ref="L9">IFERROR(INDEX('1)qPCR'!$E$2:$E$97,MATCH(INDEX(HIDDEN!$C$1:$C$96,SMALL(IF(HIDDEN!$B$1:$B$96=$A9&amp;";"&amp;L$1,ROW(HIDDEN!$B$1:$B$96)-ROW(INDEX(HIDDEN!$B$1:$B$96,1,1))+1),L$2)),'1)qPCR'!$A$2:$A$97,0)),"")</f>
        <v/>
      </c>
      <c r="M9" s="32" t="str">
        <f t="array" ref="M9">IFERROR(INDEX('1)qPCR'!$E$2:$E$97,MATCH(INDEX(HIDDEN!$C$1:$C$96,SMALL(IF(HIDDEN!$B$1:$B$96=$A9&amp;";"&amp;M$1,ROW(HIDDEN!$B$1:$B$96)-ROW(INDEX(HIDDEN!$B$1:$B$96,1,1))+1),M$2)),'1)qPCR'!$A$2:$A$97,0)),"")</f>
        <v/>
      </c>
      <c r="N9" s="32" t="str">
        <f t="array" ref="N9">IFERROR(INDEX('1)qPCR'!$E$2:$E$97,MATCH(INDEX(HIDDEN!$C$1:$C$96,SMALL(IF(HIDDEN!$B$1:$B$96=$A9&amp;";"&amp;N$1,ROW(HIDDEN!$B$1:$B$96)-ROW(INDEX(HIDDEN!$B$1:$B$96,1,1))+1),N$2)),'1)qPCR'!$A$2:$A$97,0)),"")</f>
        <v/>
      </c>
      <c r="O9" s="32" t="str">
        <f t="array" ref="O9">IFERROR(INDEX('1)qPCR'!$E$2:$E$97,MATCH(INDEX(HIDDEN!$C$1:$C$96,SMALL(IF(HIDDEN!$B$1:$B$96=$A9&amp;";"&amp;O$1,ROW(HIDDEN!$B$1:$B$96)-ROW(INDEX(HIDDEN!$B$1:$B$96,1,1))+1),O$2)),'1)qPCR'!$A$2:$A$97,0)),"")</f>
        <v/>
      </c>
      <c r="P9" s="7" t="str">
        <f t="shared" si="1"/>
        <v/>
      </c>
      <c r="Q9" s="18" t="str">
        <f t="shared" si="3"/>
        <v/>
      </c>
      <c r="R9" s="7" t="str">
        <f t="shared" si="2"/>
        <v/>
      </c>
      <c r="S9" s="18" t="str">
        <f>IFERROR(R9/I9,"")</f>
        <v/>
      </c>
      <c r="T9" s="10" t="str">
        <f t="shared" si="21"/>
        <v/>
      </c>
      <c r="U9" s="10" t="str">
        <f>IFERROR(I9-$I$3,"")</f>
        <v/>
      </c>
      <c r="V9" s="17" t="str">
        <f t="shared" si="23"/>
        <v/>
      </c>
      <c r="W9" s="17" t="str">
        <f t="shared" si="24"/>
        <v/>
      </c>
      <c r="X9" s="17" t="str">
        <f t="shared" si="25"/>
        <v/>
      </c>
      <c r="Y9" s="17" t="str">
        <f t="shared" si="5"/>
        <v/>
      </c>
      <c r="Z9" s="17" t="str">
        <f t="shared" si="6"/>
        <v/>
      </c>
      <c r="AA9" s="17" t="str">
        <f t="shared" si="7"/>
        <v/>
      </c>
      <c r="AB9" s="17" t="str">
        <f t="shared" si="8"/>
        <v/>
      </c>
      <c r="AC9" s="17" t="str">
        <f t="shared" si="9"/>
        <v/>
      </c>
      <c r="AD9" s="17" t="str">
        <f t="shared" si="10"/>
        <v/>
      </c>
      <c r="AE9" s="17" t="str">
        <f t="shared" si="11"/>
        <v/>
      </c>
      <c r="AF9" s="17" t="str">
        <f t="shared" si="12"/>
        <v/>
      </c>
      <c r="AG9" s="17">
        <f t="shared" si="26"/>
        <v>0</v>
      </c>
      <c r="AH9" s="17">
        <f t="shared" si="13"/>
        <v>0</v>
      </c>
      <c r="AI9" s="17">
        <f t="shared" si="27"/>
        <v>0</v>
      </c>
      <c r="AJ9" s="17" t="str">
        <f>IF(AP9="","",IF(AP9&lt;=RANGES!$A$8,1,IF(AP9&lt;=RANGES!$A$9,2,IF(AP9&lt;=RANGES!$A$10,3,IF(AP9&lt;=RANGES!$A$11,4,IF(AP9&lt;=RANGES!$A$12,5,IF(AP9&lt;=RANGES!$A$13,6,IF(AP9&lt;=RANGES!$A$14,7,8))))))))</f>
        <v/>
      </c>
      <c r="AK9" s="17" t="str">
        <f ca="1">IFERROR(INDEX(RANGES!$C$7:$H$7,1,IF(AO9&lt;=INDIRECT("RANGES!C"&amp;7+AJ9),1,IF(AO9&lt;=INDIRECT("RANGES!D"&amp;7+AJ9),2,IF(AO9&lt;=INDIRECT("RANGES!E"&amp;7+AJ9),3,IF(AO9&lt;=INDIRECT("RANGES!F"&amp;7+AJ9),4,IF(AO9&lt;=INDIRECT("RANGES!G"&amp;7+AJ9),5,6)))))),"")</f>
        <v/>
      </c>
      <c r="AL9" s="17">
        <f t="shared" si="14"/>
        <v>0</v>
      </c>
      <c r="AM9" s="17" t="str">
        <f t="shared" si="15"/>
        <v/>
      </c>
      <c r="AN9" s="17" t="str">
        <f t="shared" si="28"/>
        <v/>
      </c>
      <c r="AO9" s="17" t="str">
        <f t="shared" si="29"/>
        <v/>
      </c>
      <c r="AP9" s="17" t="str">
        <f t="shared" si="16"/>
        <v/>
      </c>
      <c r="AQ9" s="17" t="str">
        <f t="shared" si="30"/>
        <v/>
      </c>
      <c r="AR9" s="17" t="str">
        <f t="shared" si="31"/>
        <v/>
      </c>
      <c r="AS9" s="17" t="str">
        <f t="shared" si="32"/>
        <v/>
      </c>
      <c r="AT9" s="10" t="str">
        <f t="shared" si="17"/>
        <v/>
      </c>
      <c r="AU9" s="10" t="str">
        <f t="shared" si="33"/>
        <v/>
      </c>
      <c r="AV9" s="7" t="str">
        <f t="shared" si="18"/>
        <v/>
      </c>
      <c r="AW9" s="21" t="str">
        <f t="shared" si="34"/>
        <v/>
      </c>
      <c r="AX9" s="21" t="str">
        <f t="shared" si="19"/>
        <v/>
      </c>
      <c r="AY9" s="7" t="str">
        <f t="shared" si="35"/>
        <v/>
      </c>
      <c r="AZ9" s="7" t="str">
        <f t="shared" si="36"/>
        <v/>
      </c>
    </row>
    <row r="10" spans="1:52" ht="13.2">
      <c r="A10" s="7" t="str">
        <f>HIDDEN!H9</f>
        <v/>
      </c>
      <c r="B10" s="7" t="str">
        <f>IFERROR(MATCH(A10,'3)PACIENTES'!$A$2:$A$97,0),"")</f>
        <v/>
      </c>
      <c r="C10" s="24" t="str">
        <f>IFERROR(INDEX('3)PACIENTES'!D$2:D$97,SAMPLES!$B10),"")</f>
        <v/>
      </c>
      <c r="D10" s="24" t="str">
        <f>IFERROR(INDEX('3)PACIENTES'!B$2:B$97,SAMPLES!$B10),"")</f>
        <v/>
      </c>
      <c r="E10" s="24" t="str">
        <f>IFERROR(INDEX('3)PACIENTES'!$C$2:$C102,SAMPLES!$B10),"")</f>
        <v/>
      </c>
      <c r="F10" s="22">
        <f>'3)PACIENTES'!$F$2</f>
        <v>44039</v>
      </c>
      <c r="G10" s="13" t="str">
        <f>IFERROR(INDEX('3)PACIENTES'!E$2:E$97,SAMPLES!$B10),"")</f>
        <v/>
      </c>
      <c r="H10" s="17" t="str">
        <f t="shared" si="0"/>
        <v/>
      </c>
      <c r="I10" s="17" t="str">
        <f t="shared" si="20"/>
        <v/>
      </c>
      <c r="J10" s="32" t="str">
        <f t="array" ref="J10">IFERROR(INDEX('1)qPCR'!$E$2:$E$97,MATCH(INDEX(HIDDEN!$C$1:$C$96,SMALL(IF(HIDDEN!$B$1:$B$96=$A10&amp;";"&amp;J$1,ROW(HIDDEN!$B$1:$B$96)-ROW(INDEX(HIDDEN!$B$1:$B$96,1,1))+1),J$2)),'1)qPCR'!$A$2:$A$97,0)),"")</f>
        <v/>
      </c>
      <c r="K10" s="32" t="str">
        <f t="array" ref="K10">IFERROR(INDEX('1)qPCR'!$E$2:$E$97,MATCH(INDEX(HIDDEN!$C$1:$C$96,SMALL(IF(HIDDEN!$B$1:$B$96=$A10&amp;";"&amp;K$1,ROW(HIDDEN!$B$1:$B$96)-ROW(INDEX(HIDDEN!$B$1:$B$96,1,1))+1),K$2)),'1)qPCR'!$A$2:$A$97,0)),"")</f>
        <v/>
      </c>
      <c r="L10" s="32" t="str">
        <f t="array" ref="L10">IFERROR(INDEX('1)qPCR'!$E$2:$E$97,MATCH(INDEX(HIDDEN!$C$1:$C$96,SMALL(IF(HIDDEN!$B$1:$B$96=$A10&amp;";"&amp;L$1,ROW(HIDDEN!$B$1:$B$96)-ROW(INDEX(HIDDEN!$B$1:$B$96,1,1))+1),L$2)),'1)qPCR'!$A$2:$A$97,0)),"")</f>
        <v/>
      </c>
      <c r="M10" s="32" t="str">
        <f t="array" ref="M10">IFERROR(INDEX('1)qPCR'!$E$2:$E$97,MATCH(INDEX(HIDDEN!$C$1:$C$96,SMALL(IF(HIDDEN!$B$1:$B$96=$A10&amp;";"&amp;M$1,ROW(HIDDEN!$B$1:$B$96)-ROW(INDEX(HIDDEN!$B$1:$B$96,1,1))+1),M$2)),'1)qPCR'!$A$2:$A$97,0)),"")</f>
        <v/>
      </c>
      <c r="N10" s="32" t="str">
        <f t="array" ref="N10">IFERROR(INDEX('1)qPCR'!$E$2:$E$97,MATCH(INDEX(HIDDEN!$C$1:$C$96,SMALL(IF(HIDDEN!$B$1:$B$96=$A10&amp;";"&amp;N$1,ROW(HIDDEN!$B$1:$B$96)-ROW(INDEX(HIDDEN!$B$1:$B$96,1,1))+1),N$2)),'1)qPCR'!$A$2:$A$97,0)),"")</f>
        <v/>
      </c>
      <c r="O10" s="32" t="str">
        <f t="array" ref="O10">IFERROR(INDEX('1)qPCR'!$E$2:$E$97,MATCH(INDEX(HIDDEN!$C$1:$C$96,SMALL(IF(HIDDEN!$B$1:$B$96=$A10&amp;";"&amp;O$1,ROW(HIDDEN!$B$1:$B$96)-ROW(INDEX(HIDDEN!$B$1:$B$96,1,1))+1),O$2)),'1)qPCR'!$A$2:$A$97,0)),"")</f>
        <v/>
      </c>
      <c r="P10" s="7" t="str">
        <f t="shared" si="1"/>
        <v/>
      </c>
      <c r="Q10" s="18" t="str">
        <f t="shared" si="3"/>
        <v/>
      </c>
      <c r="R10" s="7" t="str">
        <f t="shared" si="2"/>
        <v/>
      </c>
      <c r="S10" s="18" t="str">
        <f t="shared" si="4"/>
        <v/>
      </c>
      <c r="T10" s="10" t="str">
        <f t="shared" si="21"/>
        <v/>
      </c>
      <c r="U10" s="10" t="str">
        <f t="shared" si="22"/>
        <v/>
      </c>
      <c r="V10" s="17" t="str">
        <f t="shared" si="23"/>
        <v/>
      </c>
      <c r="W10" s="17" t="str">
        <f t="shared" si="24"/>
        <v/>
      </c>
      <c r="X10" s="17" t="str">
        <f t="shared" si="25"/>
        <v/>
      </c>
      <c r="Y10" s="17" t="str">
        <f t="shared" si="5"/>
        <v/>
      </c>
      <c r="Z10" s="17" t="str">
        <f t="shared" si="6"/>
        <v/>
      </c>
      <c r="AA10" s="17" t="str">
        <f t="shared" si="7"/>
        <v/>
      </c>
      <c r="AB10" s="17" t="str">
        <f t="shared" si="8"/>
        <v/>
      </c>
      <c r="AC10" s="17" t="str">
        <f t="shared" si="9"/>
        <v/>
      </c>
      <c r="AD10" s="17" t="str">
        <f t="shared" si="10"/>
        <v/>
      </c>
      <c r="AE10" s="17" t="str">
        <f t="shared" si="11"/>
        <v/>
      </c>
      <c r="AF10" s="17" t="str">
        <f t="shared" si="12"/>
        <v/>
      </c>
      <c r="AG10" s="17">
        <f t="shared" si="26"/>
        <v>0</v>
      </c>
      <c r="AH10" s="17">
        <f t="shared" si="13"/>
        <v>0</v>
      </c>
      <c r="AI10" s="17">
        <f t="shared" si="27"/>
        <v>0</v>
      </c>
      <c r="AJ10" s="17" t="str">
        <f>IF(AP10="","",IF(AP10&lt;=RANGES!$A$8,1,IF(AP10&lt;=RANGES!$A$9,2,IF(AP10&lt;=RANGES!$A$10,3,IF(AP10&lt;=RANGES!$A$11,4,IF(AP10&lt;=RANGES!$A$12,5,IF(AP10&lt;=RANGES!$A$13,6,IF(AP10&lt;=RANGES!$A$14,7,8))))))))</f>
        <v/>
      </c>
      <c r="AK10" s="17" t="str">
        <f ca="1">IFERROR(INDEX(RANGES!$C$7:$H$7,1,IF(AO10&lt;=INDIRECT("RANGES!C"&amp;7+AJ10),1,IF(AO10&lt;=INDIRECT("RANGES!D"&amp;7+AJ10),2,IF(AO10&lt;=INDIRECT("RANGES!E"&amp;7+AJ10),3,IF(AO10&lt;=INDIRECT("RANGES!F"&amp;7+AJ10),4,IF(AO10&lt;=INDIRECT("RANGES!G"&amp;7+AJ10),5,6)))))),"")</f>
        <v/>
      </c>
      <c r="AL10" s="17">
        <f t="shared" si="14"/>
        <v>0</v>
      </c>
      <c r="AM10" s="17" t="str">
        <f t="shared" si="15"/>
        <v/>
      </c>
      <c r="AN10" s="17" t="str">
        <f t="shared" si="28"/>
        <v/>
      </c>
      <c r="AO10" s="17" t="str">
        <f t="shared" si="29"/>
        <v/>
      </c>
      <c r="AP10" s="17" t="str">
        <f t="shared" si="16"/>
        <v/>
      </c>
      <c r="AQ10" s="17" t="str">
        <f t="shared" si="30"/>
        <v/>
      </c>
      <c r="AR10" s="17" t="str">
        <f t="shared" si="31"/>
        <v/>
      </c>
      <c r="AS10" s="17" t="str">
        <f t="shared" si="32"/>
        <v/>
      </c>
      <c r="AT10" s="10" t="str">
        <f t="shared" si="17"/>
        <v/>
      </c>
      <c r="AU10" s="10" t="str">
        <f t="shared" si="33"/>
        <v/>
      </c>
      <c r="AV10" s="7" t="str">
        <f t="shared" si="18"/>
        <v/>
      </c>
      <c r="AW10" s="21" t="str">
        <f t="shared" si="34"/>
        <v/>
      </c>
      <c r="AX10" s="21" t="str">
        <f t="shared" si="19"/>
        <v/>
      </c>
      <c r="AY10" s="7" t="str">
        <f t="shared" si="35"/>
        <v/>
      </c>
      <c r="AZ10" s="7" t="str">
        <f t="shared" si="36"/>
        <v/>
      </c>
    </row>
    <row r="11" spans="1:52" s="26" customFormat="1" ht="13.2">
      <c r="A11" s="7" t="str">
        <f>HIDDEN!H10</f>
        <v/>
      </c>
      <c r="B11" s="7" t="str">
        <f>IFERROR(MATCH(A11,'3)PACIENTES'!$A$2:$A$97,0),"")</f>
        <v/>
      </c>
      <c r="C11" s="24" t="str">
        <f>IFERROR(INDEX('3)PACIENTES'!D$2:D$97,SAMPLES!$B11),"")</f>
        <v/>
      </c>
      <c r="D11" s="24" t="str">
        <f>IFERROR(INDEX('3)PACIENTES'!B$2:B$97,SAMPLES!$B11),"")</f>
        <v/>
      </c>
      <c r="E11" s="24" t="str">
        <f>IFERROR(INDEX('3)PACIENTES'!$C$2:$C103,SAMPLES!$B11),"")</f>
        <v/>
      </c>
      <c r="F11" s="22">
        <f>'3)PACIENTES'!$F$2</f>
        <v>44039</v>
      </c>
      <c r="G11" s="13" t="str">
        <f>IFERROR(INDEX('3)PACIENTES'!E$2:E$97,SAMPLES!$B11),"")</f>
        <v/>
      </c>
      <c r="H11" s="17" t="str">
        <f t="shared" si="0"/>
        <v/>
      </c>
      <c r="I11" s="17" t="str">
        <f t="shared" si="20"/>
        <v/>
      </c>
      <c r="J11" s="32" t="str">
        <f t="array" ref="J11">IFERROR(INDEX('1)qPCR'!$E$2:$E$97,MATCH(INDEX(HIDDEN!$C$1:$C$96,SMALL(IF(HIDDEN!$B$1:$B$96=$A11&amp;";"&amp;J$1,ROW(HIDDEN!$B$1:$B$96)-ROW(INDEX(HIDDEN!$B$1:$B$96,1,1))+1),J$2)),'1)qPCR'!$A$2:$A$97,0)),"")</f>
        <v/>
      </c>
      <c r="K11" s="32" t="str">
        <f t="array" ref="K11">IFERROR(INDEX('1)qPCR'!$E$2:$E$97,MATCH(INDEX(HIDDEN!$C$1:$C$96,SMALL(IF(HIDDEN!$B$1:$B$96=$A11&amp;";"&amp;K$1,ROW(HIDDEN!$B$1:$B$96)-ROW(INDEX(HIDDEN!$B$1:$B$96,1,1))+1),K$2)),'1)qPCR'!$A$2:$A$97,0)),"")</f>
        <v/>
      </c>
      <c r="L11" s="32" t="str">
        <f t="array" ref="L11">IFERROR(INDEX('1)qPCR'!$E$2:$E$97,MATCH(INDEX(HIDDEN!$C$1:$C$96,SMALL(IF(HIDDEN!$B$1:$B$96=$A11&amp;";"&amp;L$1,ROW(HIDDEN!$B$1:$B$96)-ROW(INDEX(HIDDEN!$B$1:$B$96,1,1))+1),L$2)),'1)qPCR'!$A$2:$A$97,0)),"")</f>
        <v/>
      </c>
      <c r="M11" s="32" t="str">
        <f t="array" ref="M11">IFERROR(INDEX('1)qPCR'!$E$2:$E$97,MATCH(INDEX(HIDDEN!$C$1:$C$96,SMALL(IF(HIDDEN!$B$1:$B$96=$A11&amp;";"&amp;M$1,ROW(HIDDEN!$B$1:$B$96)-ROW(INDEX(HIDDEN!$B$1:$B$96,1,1))+1),M$2)),'1)qPCR'!$A$2:$A$97,0)),"")</f>
        <v/>
      </c>
      <c r="N11" s="32" t="str">
        <f t="array" ref="N11">IFERROR(INDEX('1)qPCR'!$E$2:$E$97,MATCH(INDEX(HIDDEN!$C$1:$C$96,SMALL(IF(HIDDEN!$B$1:$B$96=$A11&amp;";"&amp;N$1,ROW(HIDDEN!$B$1:$B$96)-ROW(INDEX(HIDDEN!$B$1:$B$96,1,1))+1),N$2)),'1)qPCR'!$A$2:$A$97,0)),"")</f>
        <v/>
      </c>
      <c r="O11" s="32" t="str">
        <f t="array" ref="O11">IFERROR(INDEX('1)qPCR'!$E$2:$E$97,MATCH(INDEX(HIDDEN!$C$1:$C$96,SMALL(IF(HIDDEN!$B$1:$B$96=$A11&amp;";"&amp;O$1,ROW(HIDDEN!$B$1:$B$96)-ROW(INDEX(HIDDEN!$B$1:$B$96,1,1))+1),O$2)),'1)qPCR'!$A$2:$A$97,0)),"")</f>
        <v/>
      </c>
      <c r="P11" s="7" t="str">
        <f t="shared" si="1"/>
        <v/>
      </c>
      <c r="Q11" s="18" t="str">
        <f t="shared" si="3"/>
        <v/>
      </c>
      <c r="R11" s="7" t="str">
        <f t="shared" si="2"/>
        <v/>
      </c>
      <c r="S11" s="18" t="str">
        <f t="shared" si="4"/>
        <v/>
      </c>
      <c r="T11" s="10" t="str">
        <f t="shared" si="21"/>
        <v/>
      </c>
      <c r="U11" s="10" t="str">
        <f t="shared" si="22"/>
        <v/>
      </c>
      <c r="V11" s="17" t="str">
        <f t="shared" si="23"/>
        <v/>
      </c>
      <c r="W11" s="17" t="str">
        <f t="shared" si="24"/>
        <v/>
      </c>
      <c r="X11" s="17" t="str">
        <f t="shared" si="25"/>
        <v/>
      </c>
      <c r="Y11" s="17" t="str">
        <f t="shared" si="5"/>
        <v/>
      </c>
      <c r="Z11" s="17" t="str">
        <f t="shared" si="6"/>
        <v/>
      </c>
      <c r="AA11" s="17" t="str">
        <f t="shared" si="7"/>
        <v/>
      </c>
      <c r="AB11" s="17" t="str">
        <f t="shared" si="8"/>
        <v/>
      </c>
      <c r="AC11" s="17" t="str">
        <f t="shared" si="9"/>
        <v/>
      </c>
      <c r="AD11" s="17" t="str">
        <f t="shared" si="10"/>
        <v/>
      </c>
      <c r="AE11" s="17" t="str">
        <f t="shared" si="11"/>
        <v/>
      </c>
      <c r="AF11" s="17" t="str">
        <f t="shared" si="12"/>
        <v/>
      </c>
      <c r="AG11" s="17">
        <f t="shared" si="26"/>
        <v>0</v>
      </c>
      <c r="AH11" s="17">
        <f t="shared" si="13"/>
        <v>0</v>
      </c>
      <c r="AI11" s="17">
        <f t="shared" si="27"/>
        <v>0</v>
      </c>
      <c r="AJ11" s="17" t="str">
        <f>IF(AP11="","",IF(AP11&lt;=RANGES!$A$8,1,IF(AP11&lt;=RANGES!$A$9,2,IF(AP11&lt;=RANGES!$A$10,3,IF(AP11&lt;=RANGES!$A$11,4,IF(AP11&lt;=RANGES!$A$12,5,IF(AP11&lt;=RANGES!$A$13,6,IF(AP11&lt;=RANGES!$A$14,7,8))))))))</f>
        <v/>
      </c>
      <c r="AK11" s="17" t="str">
        <f ca="1">IFERROR(INDEX(RANGES!$C$7:$H$7,1,IF(AO11&lt;=INDIRECT("RANGES!C"&amp;7+AJ11),1,IF(AO11&lt;=INDIRECT("RANGES!D"&amp;7+AJ11),2,IF(AO11&lt;=INDIRECT("RANGES!E"&amp;7+AJ11),3,IF(AO11&lt;=INDIRECT("RANGES!F"&amp;7+AJ11),4,IF(AO11&lt;=INDIRECT("RANGES!G"&amp;7+AJ11),5,6)))))),"")</f>
        <v/>
      </c>
      <c r="AL11" s="17">
        <f t="shared" si="14"/>
        <v>0</v>
      </c>
      <c r="AM11" s="17" t="str">
        <f t="shared" si="15"/>
        <v/>
      </c>
      <c r="AN11" s="17" t="str">
        <f t="shared" si="28"/>
        <v/>
      </c>
      <c r="AO11" s="17" t="str">
        <f t="shared" si="29"/>
        <v/>
      </c>
      <c r="AP11" s="17" t="str">
        <f t="shared" si="16"/>
        <v/>
      </c>
      <c r="AQ11" s="17" t="str">
        <f t="shared" si="30"/>
        <v/>
      </c>
      <c r="AR11" s="17" t="str">
        <f t="shared" si="31"/>
        <v/>
      </c>
      <c r="AS11" s="17" t="str">
        <f t="shared" si="32"/>
        <v/>
      </c>
      <c r="AT11" s="10" t="str">
        <f t="shared" si="17"/>
        <v/>
      </c>
      <c r="AU11" s="10" t="str">
        <f t="shared" si="33"/>
        <v/>
      </c>
      <c r="AV11" s="7" t="str">
        <f t="shared" si="18"/>
        <v/>
      </c>
      <c r="AW11" s="21" t="str">
        <f t="shared" si="34"/>
        <v/>
      </c>
      <c r="AX11" s="21" t="str">
        <f t="shared" si="19"/>
        <v/>
      </c>
      <c r="AY11" s="7" t="str">
        <f t="shared" si="35"/>
        <v/>
      </c>
      <c r="AZ11" s="7" t="str">
        <f t="shared" si="36"/>
        <v/>
      </c>
    </row>
    <row r="12" spans="1:52" ht="13.2">
      <c r="A12" s="7" t="str">
        <f>HIDDEN!H11</f>
        <v/>
      </c>
      <c r="B12" s="7" t="str">
        <f>IFERROR(MATCH(A12,'3)PACIENTES'!$A$2:$A$97,0),"")</f>
        <v/>
      </c>
      <c r="C12" s="24" t="str">
        <f>IFERROR(INDEX('3)PACIENTES'!D$2:D$97,SAMPLES!$B12),"")</f>
        <v/>
      </c>
      <c r="D12" s="24" t="str">
        <f>IFERROR(INDEX('3)PACIENTES'!B$2:B$97,SAMPLES!$B12),"")</f>
        <v/>
      </c>
      <c r="E12" s="24" t="str">
        <f>IFERROR(INDEX('3)PACIENTES'!$C$2:$C104,SAMPLES!$B12),"")</f>
        <v/>
      </c>
      <c r="F12" s="22">
        <f>'3)PACIENTES'!$F$2</f>
        <v>44039</v>
      </c>
      <c r="G12" s="13" t="str">
        <f>IFERROR(INDEX('3)PACIENTES'!E$2:E$97,SAMPLES!$B12),"")</f>
        <v/>
      </c>
      <c r="H12" s="17" t="str">
        <f t="shared" si="0"/>
        <v/>
      </c>
      <c r="I12" s="17" t="str">
        <f t="shared" si="20"/>
        <v/>
      </c>
      <c r="J12" s="32" t="str">
        <f t="array" ref="J12">IFERROR(INDEX('1)qPCR'!$E$2:$E$97,MATCH(INDEX(HIDDEN!$C$1:$C$96,SMALL(IF(HIDDEN!$B$1:$B$96=$A12&amp;";"&amp;J$1,ROW(HIDDEN!$B$1:$B$96)-ROW(INDEX(HIDDEN!$B$1:$B$96,1,1))+1),J$2)),'1)qPCR'!$A$2:$A$97,0)),"")</f>
        <v/>
      </c>
      <c r="K12" s="32" t="str">
        <f t="array" ref="K12">IFERROR(INDEX('1)qPCR'!$E$2:$E$97,MATCH(INDEX(HIDDEN!$C$1:$C$96,SMALL(IF(HIDDEN!$B$1:$B$96=$A12&amp;";"&amp;K$1,ROW(HIDDEN!$B$1:$B$96)-ROW(INDEX(HIDDEN!$B$1:$B$96,1,1))+1),K$2)),'1)qPCR'!$A$2:$A$97,0)),"")</f>
        <v/>
      </c>
      <c r="L12" s="32" t="str">
        <f t="array" ref="L12">IFERROR(INDEX('1)qPCR'!$E$2:$E$97,MATCH(INDEX(HIDDEN!$C$1:$C$96,SMALL(IF(HIDDEN!$B$1:$B$96=$A12&amp;";"&amp;L$1,ROW(HIDDEN!$B$1:$B$96)-ROW(INDEX(HIDDEN!$B$1:$B$96,1,1))+1),L$2)),'1)qPCR'!$A$2:$A$97,0)),"")</f>
        <v/>
      </c>
      <c r="M12" s="32" t="str">
        <f t="array" ref="M12">IFERROR(INDEX('1)qPCR'!$E$2:$E$97,MATCH(INDEX(HIDDEN!$C$1:$C$96,SMALL(IF(HIDDEN!$B$1:$B$96=$A12&amp;";"&amp;M$1,ROW(HIDDEN!$B$1:$B$96)-ROW(INDEX(HIDDEN!$B$1:$B$96,1,1))+1),M$2)),'1)qPCR'!$A$2:$A$97,0)),"")</f>
        <v/>
      </c>
      <c r="N12" s="32" t="str">
        <f t="array" ref="N12">IFERROR(INDEX('1)qPCR'!$E$2:$E$97,MATCH(INDEX(HIDDEN!$C$1:$C$96,SMALL(IF(HIDDEN!$B$1:$B$96=$A12&amp;";"&amp;N$1,ROW(HIDDEN!$B$1:$B$96)-ROW(INDEX(HIDDEN!$B$1:$B$96,1,1))+1),N$2)),'1)qPCR'!$A$2:$A$97,0)),"")</f>
        <v/>
      </c>
      <c r="O12" s="32" t="str">
        <f t="array" ref="O12">IFERROR(INDEX('1)qPCR'!$E$2:$E$97,MATCH(INDEX(HIDDEN!$C$1:$C$96,SMALL(IF(HIDDEN!$B$1:$B$96=$A12&amp;";"&amp;O$1,ROW(HIDDEN!$B$1:$B$96)-ROW(INDEX(HIDDEN!$B$1:$B$96,1,1))+1),O$2)),'1)qPCR'!$A$2:$A$97,0)),"")</f>
        <v/>
      </c>
      <c r="P12" s="7" t="str">
        <f t="shared" si="1"/>
        <v/>
      </c>
      <c r="Q12" s="18" t="str">
        <f t="shared" si="3"/>
        <v/>
      </c>
      <c r="R12" s="7" t="str">
        <f t="shared" si="2"/>
        <v/>
      </c>
      <c r="S12" s="18" t="str">
        <f t="shared" si="4"/>
        <v/>
      </c>
      <c r="T12" s="10" t="str">
        <f t="shared" si="21"/>
        <v/>
      </c>
      <c r="U12" s="10" t="str">
        <f t="shared" si="22"/>
        <v/>
      </c>
      <c r="V12" s="17" t="str">
        <f t="shared" si="23"/>
        <v/>
      </c>
      <c r="W12" s="17" t="str">
        <f t="shared" si="24"/>
        <v/>
      </c>
      <c r="X12" s="17" t="str">
        <f t="shared" si="25"/>
        <v/>
      </c>
      <c r="Y12" s="17" t="str">
        <f t="shared" si="5"/>
        <v/>
      </c>
      <c r="Z12" s="17" t="str">
        <f t="shared" si="6"/>
        <v/>
      </c>
      <c r="AA12" s="17" t="str">
        <f t="shared" si="7"/>
        <v/>
      </c>
      <c r="AB12" s="17" t="str">
        <f t="shared" si="8"/>
        <v/>
      </c>
      <c r="AC12" s="17" t="str">
        <f t="shared" si="9"/>
        <v/>
      </c>
      <c r="AD12" s="17" t="str">
        <f t="shared" si="10"/>
        <v/>
      </c>
      <c r="AE12" s="17" t="str">
        <f t="shared" si="11"/>
        <v/>
      </c>
      <c r="AF12" s="17" t="str">
        <f t="shared" si="12"/>
        <v/>
      </c>
      <c r="AG12" s="17">
        <f t="shared" si="26"/>
        <v>0</v>
      </c>
      <c r="AH12" s="17">
        <f t="shared" si="13"/>
        <v>0</v>
      </c>
      <c r="AI12" s="17">
        <f t="shared" si="27"/>
        <v>0</v>
      </c>
      <c r="AJ12" s="17" t="str">
        <f>IF(AP12="","",IF(AP12&lt;=RANGES!$A$8,1,IF(AP12&lt;=RANGES!$A$9,2,IF(AP12&lt;=RANGES!$A$10,3,IF(AP12&lt;=RANGES!$A$11,4,IF(AP12&lt;=RANGES!$A$12,5,IF(AP12&lt;=RANGES!$A$13,6,IF(AP12&lt;=RANGES!$A$14,7,8))))))))</f>
        <v/>
      </c>
      <c r="AK12" s="17" t="str">
        <f ca="1">IFERROR(INDEX(RANGES!$C$7:$H$7,1,IF(AO12&lt;=INDIRECT("RANGES!C"&amp;7+AJ12),1,IF(AO12&lt;=INDIRECT("RANGES!D"&amp;7+AJ12),2,IF(AO12&lt;=INDIRECT("RANGES!E"&amp;7+AJ12),3,IF(AO12&lt;=INDIRECT("RANGES!F"&amp;7+AJ12),4,IF(AO12&lt;=INDIRECT("RANGES!G"&amp;7+AJ12),5,6)))))),"")</f>
        <v/>
      </c>
      <c r="AL12" s="17">
        <f t="shared" si="14"/>
        <v>0</v>
      </c>
      <c r="AM12" s="17" t="str">
        <f t="shared" si="15"/>
        <v/>
      </c>
      <c r="AN12" s="17" t="str">
        <f t="shared" si="28"/>
        <v/>
      </c>
      <c r="AO12" s="17" t="str">
        <f t="shared" si="29"/>
        <v/>
      </c>
      <c r="AP12" s="17" t="str">
        <f t="shared" si="16"/>
        <v/>
      </c>
      <c r="AQ12" s="17" t="str">
        <f t="shared" si="30"/>
        <v/>
      </c>
      <c r="AR12" s="17" t="str">
        <f t="shared" si="31"/>
        <v/>
      </c>
      <c r="AS12" s="17" t="str">
        <f t="shared" si="32"/>
        <v/>
      </c>
      <c r="AT12" s="7" t="str">
        <f t="shared" si="17"/>
        <v/>
      </c>
      <c r="AU12" s="10" t="str">
        <f t="shared" si="33"/>
        <v/>
      </c>
      <c r="AV12" s="7" t="str">
        <f t="shared" si="18"/>
        <v/>
      </c>
      <c r="AW12" s="21" t="str">
        <f t="shared" si="34"/>
        <v/>
      </c>
      <c r="AX12" s="21" t="str">
        <f t="shared" si="19"/>
        <v/>
      </c>
      <c r="AY12" s="7" t="str">
        <f t="shared" si="35"/>
        <v/>
      </c>
      <c r="AZ12" s="7" t="str">
        <f t="shared" si="36"/>
        <v/>
      </c>
    </row>
    <row r="13" spans="1:52" s="26" customFormat="1" ht="13.2">
      <c r="A13" s="7" t="str">
        <f>HIDDEN!H12</f>
        <v/>
      </c>
      <c r="B13" s="7" t="str">
        <f>IFERROR(MATCH(A13,'3)PACIENTES'!$A$2:$A$97,0),"")</f>
        <v/>
      </c>
      <c r="C13" s="24" t="str">
        <f>IFERROR(INDEX('3)PACIENTES'!D$2:D$97,SAMPLES!$B13),"")</f>
        <v/>
      </c>
      <c r="D13" s="24" t="str">
        <f>IFERROR(INDEX('3)PACIENTES'!B$2:B$97,SAMPLES!$B13),"")</f>
        <v/>
      </c>
      <c r="E13" s="24" t="str">
        <f>IFERROR(INDEX('3)PACIENTES'!$C$2:$C105,SAMPLES!$B13),"")</f>
        <v/>
      </c>
      <c r="F13" s="22">
        <f>'3)PACIENTES'!$F$2</f>
        <v>44039</v>
      </c>
      <c r="G13" s="13" t="str">
        <f>IFERROR(INDEX('3)PACIENTES'!E$2:E$97,SAMPLES!$B13),"")</f>
        <v/>
      </c>
      <c r="H13" s="17" t="str">
        <f t="shared" si="0"/>
        <v/>
      </c>
      <c r="I13" s="17" t="str">
        <f t="shared" si="20"/>
        <v/>
      </c>
      <c r="J13" s="32" t="str">
        <f t="array" ref="J13">IFERROR(INDEX('1)qPCR'!$E$2:$E$97,MATCH(INDEX(HIDDEN!$C$1:$C$96,SMALL(IF(HIDDEN!$B$1:$B$96=$A13&amp;";"&amp;J$1,ROW(HIDDEN!$B$1:$B$96)-ROW(INDEX(HIDDEN!$B$1:$B$96,1,1))+1),J$2)),'1)qPCR'!$A$2:$A$97,0)),"")</f>
        <v/>
      </c>
      <c r="K13" s="32" t="str">
        <f t="array" ref="K13">IFERROR(INDEX('1)qPCR'!$E$2:$E$97,MATCH(INDEX(HIDDEN!$C$1:$C$96,SMALL(IF(HIDDEN!$B$1:$B$96=$A13&amp;";"&amp;K$1,ROW(HIDDEN!$B$1:$B$96)-ROW(INDEX(HIDDEN!$B$1:$B$96,1,1))+1),K$2)),'1)qPCR'!$A$2:$A$97,0)),"")</f>
        <v/>
      </c>
      <c r="L13" s="32" t="str">
        <f t="array" ref="L13">IFERROR(INDEX('1)qPCR'!$E$2:$E$97,MATCH(INDEX(HIDDEN!$C$1:$C$96,SMALL(IF(HIDDEN!$B$1:$B$96=$A13&amp;";"&amp;L$1,ROW(HIDDEN!$B$1:$B$96)-ROW(INDEX(HIDDEN!$B$1:$B$96,1,1))+1),L$2)),'1)qPCR'!$A$2:$A$97,0)),"")</f>
        <v/>
      </c>
      <c r="M13" s="32" t="str">
        <f t="array" ref="M13">IFERROR(INDEX('1)qPCR'!$E$2:$E$97,MATCH(INDEX(HIDDEN!$C$1:$C$96,SMALL(IF(HIDDEN!$B$1:$B$96=$A13&amp;";"&amp;M$1,ROW(HIDDEN!$B$1:$B$96)-ROW(INDEX(HIDDEN!$B$1:$B$96,1,1))+1),M$2)),'1)qPCR'!$A$2:$A$97,0)),"")</f>
        <v/>
      </c>
      <c r="N13" s="32" t="str">
        <f t="array" ref="N13">IFERROR(INDEX('1)qPCR'!$E$2:$E$97,MATCH(INDEX(HIDDEN!$C$1:$C$96,SMALL(IF(HIDDEN!$B$1:$B$96=$A13&amp;";"&amp;N$1,ROW(HIDDEN!$B$1:$B$96)-ROW(INDEX(HIDDEN!$B$1:$B$96,1,1))+1),N$2)),'1)qPCR'!$A$2:$A$97,0)),"")</f>
        <v/>
      </c>
      <c r="O13" s="32" t="str">
        <f t="array" ref="O13">IFERROR(INDEX('1)qPCR'!$E$2:$E$97,MATCH(INDEX(HIDDEN!$C$1:$C$96,SMALL(IF(HIDDEN!$B$1:$B$96=$A13&amp;";"&amp;O$1,ROW(HIDDEN!$B$1:$B$96)-ROW(INDEX(HIDDEN!$B$1:$B$96,1,1))+1),O$2)),'1)qPCR'!$A$2:$A$97,0)),"")</f>
        <v/>
      </c>
      <c r="P13" s="7" t="str">
        <f t="shared" si="1"/>
        <v/>
      </c>
      <c r="Q13" s="18" t="str">
        <f t="shared" si="3"/>
        <v/>
      </c>
      <c r="R13" s="7" t="str">
        <f t="shared" si="2"/>
        <v/>
      </c>
      <c r="S13" s="18" t="str">
        <f t="shared" si="4"/>
        <v/>
      </c>
      <c r="T13" s="10" t="str">
        <f t="shared" si="21"/>
        <v/>
      </c>
      <c r="U13" s="10" t="str">
        <f t="shared" si="22"/>
        <v/>
      </c>
      <c r="V13" s="17" t="str">
        <f t="shared" si="23"/>
        <v/>
      </c>
      <c r="W13" s="17" t="str">
        <f t="shared" si="24"/>
        <v/>
      </c>
      <c r="X13" s="17" t="str">
        <f t="shared" si="25"/>
        <v/>
      </c>
      <c r="Y13" s="17" t="str">
        <f t="shared" si="5"/>
        <v/>
      </c>
      <c r="Z13" s="17" t="str">
        <f t="shared" si="6"/>
        <v/>
      </c>
      <c r="AA13" s="17" t="str">
        <f t="shared" si="7"/>
        <v/>
      </c>
      <c r="AB13" s="17" t="str">
        <f t="shared" si="8"/>
        <v/>
      </c>
      <c r="AC13" s="17" t="str">
        <f t="shared" si="9"/>
        <v/>
      </c>
      <c r="AD13" s="17" t="str">
        <f t="shared" si="10"/>
        <v/>
      </c>
      <c r="AE13" s="17" t="str">
        <f t="shared" si="11"/>
        <v/>
      </c>
      <c r="AF13" s="17" t="str">
        <f t="shared" si="12"/>
        <v/>
      </c>
      <c r="AG13" s="17">
        <f t="shared" si="26"/>
        <v>0</v>
      </c>
      <c r="AH13" s="17">
        <f t="shared" si="13"/>
        <v>0</v>
      </c>
      <c r="AI13" s="17">
        <f t="shared" si="27"/>
        <v>0</v>
      </c>
      <c r="AJ13" s="17" t="str">
        <f>IF(AP13="","",IF(AP13&lt;=RANGES!$A$8,1,IF(AP13&lt;=RANGES!$A$9,2,IF(AP13&lt;=RANGES!$A$10,3,IF(AP13&lt;=RANGES!$A$11,4,IF(AP13&lt;=RANGES!$A$12,5,IF(AP13&lt;=RANGES!$A$13,6,IF(AP13&lt;=RANGES!$A$14,7,8))))))))</f>
        <v/>
      </c>
      <c r="AK13" s="17" t="str">
        <f ca="1">IFERROR(INDEX(RANGES!$C$7:$H$7,1,IF(AO13&lt;=INDIRECT("RANGES!C"&amp;7+AJ13),1,IF(AO13&lt;=INDIRECT("RANGES!D"&amp;7+AJ13),2,IF(AO13&lt;=INDIRECT("RANGES!E"&amp;7+AJ13),3,IF(AO13&lt;=INDIRECT("RANGES!F"&amp;7+AJ13),4,IF(AO13&lt;=INDIRECT("RANGES!G"&amp;7+AJ13),5,6)))))),"")</f>
        <v/>
      </c>
      <c r="AL13" s="17">
        <f t="shared" si="14"/>
        <v>0</v>
      </c>
      <c r="AM13" s="17" t="str">
        <f t="shared" si="15"/>
        <v/>
      </c>
      <c r="AN13" s="17" t="str">
        <f t="shared" si="28"/>
        <v/>
      </c>
      <c r="AO13" s="17" t="str">
        <f t="shared" si="29"/>
        <v/>
      </c>
      <c r="AP13" s="17" t="str">
        <f t="shared" si="16"/>
        <v/>
      </c>
      <c r="AQ13" s="17" t="str">
        <f t="shared" si="30"/>
        <v/>
      </c>
      <c r="AR13" s="17" t="str">
        <f t="shared" si="31"/>
        <v/>
      </c>
      <c r="AS13" s="17" t="str">
        <f t="shared" si="32"/>
        <v/>
      </c>
      <c r="AT13" s="7" t="str">
        <f t="shared" si="17"/>
        <v/>
      </c>
      <c r="AU13" s="10" t="str">
        <f t="shared" si="33"/>
        <v/>
      </c>
      <c r="AV13" s="7" t="str">
        <f t="shared" si="18"/>
        <v/>
      </c>
      <c r="AW13" s="21" t="str">
        <f t="shared" si="34"/>
        <v/>
      </c>
      <c r="AX13" s="21" t="str">
        <f t="shared" si="19"/>
        <v/>
      </c>
      <c r="AY13" s="7" t="str">
        <f t="shared" si="35"/>
        <v/>
      </c>
      <c r="AZ13" s="7" t="str">
        <f t="shared" si="36"/>
        <v/>
      </c>
    </row>
    <row r="14" spans="1:52" ht="13.2">
      <c r="A14" s="7" t="str">
        <f>HIDDEN!H13</f>
        <v/>
      </c>
      <c r="B14" s="7" t="str">
        <f>IFERROR(MATCH(A14,'3)PACIENTES'!$A$2:$A$97,0),"")</f>
        <v/>
      </c>
      <c r="C14" s="24" t="str">
        <f>IFERROR(INDEX('3)PACIENTES'!D$2:D$97,SAMPLES!$B14),"")</f>
        <v/>
      </c>
      <c r="D14" s="24" t="str">
        <f>IFERROR(INDEX('3)PACIENTES'!B$2:B$97,SAMPLES!$B14),"")</f>
        <v/>
      </c>
      <c r="E14" s="24" t="str">
        <f>IFERROR(INDEX('3)PACIENTES'!$C$2:$C106,SAMPLES!$B14),"")</f>
        <v/>
      </c>
      <c r="F14" s="22">
        <f>'3)PACIENTES'!$F$2</f>
        <v>44039</v>
      </c>
      <c r="G14" s="13" t="str">
        <f>IFERROR(INDEX('3)PACIENTES'!E$2:E$97,SAMPLES!$B14),"")</f>
        <v/>
      </c>
      <c r="H14" s="17" t="str">
        <f t="shared" si="0"/>
        <v/>
      </c>
      <c r="I14" s="17" t="str">
        <f t="shared" si="20"/>
        <v/>
      </c>
      <c r="J14" s="32" t="str">
        <f t="array" ref="J14">IFERROR(INDEX('1)qPCR'!$E$2:$E$97,MATCH(INDEX(HIDDEN!$C$1:$C$96,SMALL(IF(HIDDEN!$B$1:$B$96=$A14&amp;";"&amp;J$1,ROW(HIDDEN!$B$1:$B$96)-ROW(INDEX(HIDDEN!$B$1:$B$96,1,1))+1),J$2)),'1)qPCR'!$A$2:$A$97,0)),"")</f>
        <v/>
      </c>
      <c r="K14" s="32" t="str">
        <f t="array" ref="K14">IFERROR(INDEX('1)qPCR'!$E$2:$E$97,MATCH(INDEX(HIDDEN!$C$1:$C$96,SMALL(IF(HIDDEN!$B$1:$B$96=$A14&amp;";"&amp;K$1,ROW(HIDDEN!$B$1:$B$96)-ROW(INDEX(HIDDEN!$B$1:$B$96,1,1))+1),K$2)),'1)qPCR'!$A$2:$A$97,0)),"")</f>
        <v/>
      </c>
      <c r="L14" s="32" t="str">
        <f t="array" ref="L14">IFERROR(INDEX('1)qPCR'!$E$2:$E$97,MATCH(INDEX(HIDDEN!$C$1:$C$96,SMALL(IF(HIDDEN!$B$1:$B$96=$A14&amp;";"&amp;L$1,ROW(HIDDEN!$B$1:$B$96)-ROW(INDEX(HIDDEN!$B$1:$B$96,1,1))+1),L$2)),'1)qPCR'!$A$2:$A$97,0)),"")</f>
        <v/>
      </c>
      <c r="M14" s="32" t="str">
        <f t="array" ref="M14">IFERROR(INDEX('1)qPCR'!$E$2:$E$97,MATCH(INDEX(HIDDEN!$C$1:$C$96,SMALL(IF(HIDDEN!$B$1:$B$96=$A14&amp;";"&amp;M$1,ROW(HIDDEN!$B$1:$B$96)-ROW(INDEX(HIDDEN!$B$1:$B$96,1,1))+1),M$2)),'1)qPCR'!$A$2:$A$97,0)),"")</f>
        <v/>
      </c>
      <c r="N14" s="32" t="str">
        <f t="array" ref="N14">IFERROR(INDEX('1)qPCR'!$E$2:$E$97,MATCH(INDEX(HIDDEN!$C$1:$C$96,SMALL(IF(HIDDEN!$B$1:$B$96=$A14&amp;";"&amp;N$1,ROW(HIDDEN!$B$1:$B$96)-ROW(INDEX(HIDDEN!$B$1:$B$96,1,1))+1),N$2)),'1)qPCR'!$A$2:$A$97,0)),"")</f>
        <v/>
      </c>
      <c r="O14" s="32" t="str">
        <f t="array" ref="O14">IFERROR(INDEX('1)qPCR'!$E$2:$E$97,MATCH(INDEX(HIDDEN!$C$1:$C$96,SMALL(IF(HIDDEN!$B$1:$B$96=$A14&amp;";"&amp;O$1,ROW(HIDDEN!$B$1:$B$96)-ROW(INDEX(HIDDEN!$B$1:$B$96,1,1))+1),O$2)),'1)qPCR'!$A$2:$A$97,0)),"")</f>
        <v/>
      </c>
      <c r="P14" s="7" t="str">
        <f t="shared" si="1"/>
        <v/>
      </c>
      <c r="Q14" s="18" t="str">
        <f t="shared" si="3"/>
        <v/>
      </c>
      <c r="R14" s="7" t="str">
        <f t="shared" si="2"/>
        <v/>
      </c>
      <c r="S14" s="18" t="str">
        <f t="shared" si="4"/>
        <v/>
      </c>
      <c r="T14" s="10" t="str">
        <f t="shared" si="21"/>
        <v/>
      </c>
      <c r="U14" s="10" t="str">
        <f t="shared" si="22"/>
        <v/>
      </c>
      <c r="V14" s="17" t="str">
        <f t="shared" si="23"/>
        <v/>
      </c>
      <c r="W14" s="17" t="str">
        <f t="shared" si="24"/>
        <v/>
      </c>
      <c r="X14" s="17" t="str">
        <f t="shared" si="25"/>
        <v/>
      </c>
      <c r="Y14" s="17" t="str">
        <f t="shared" si="5"/>
        <v/>
      </c>
      <c r="Z14" s="17" t="str">
        <f t="shared" si="6"/>
        <v/>
      </c>
      <c r="AA14" s="17" t="str">
        <f t="shared" si="7"/>
        <v/>
      </c>
      <c r="AB14" s="17" t="str">
        <f t="shared" si="8"/>
        <v/>
      </c>
      <c r="AC14" s="17" t="str">
        <f t="shared" si="9"/>
        <v/>
      </c>
      <c r="AD14" s="17" t="str">
        <f t="shared" si="10"/>
        <v/>
      </c>
      <c r="AE14" s="17" t="str">
        <f t="shared" si="11"/>
        <v/>
      </c>
      <c r="AF14" s="17" t="str">
        <f t="shared" si="12"/>
        <v/>
      </c>
      <c r="AG14" s="17">
        <f t="shared" si="26"/>
        <v>0</v>
      </c>
      <c r="AH14" s="17">
        <f t="shared" si="13"/>
        <v>0</v>
      </c>
      <c r="AI14" s="17">
        <f t="shared" si="27"/>
        <v>0</v>
      </c>
      <c r="AJ14" s="17" t="str">
        <f>IF(AP14="","",IF(AP14&lt;=RANGES!$A$8,1,IF(AP14&lt;=RANGES!$A$9,2,IF(AP14&lt;=RANGES!$A$10,3,IF(AP14&lt;=RANGES!$A$11,4,IF(AP14&lt;=RANGES!$A$12,5,IF(AP14&lt;=RANGES!$A$13,6,IF(AP14&lt;=RANGES!$A$14,7,8))))))))</f>
        <v/>
      </c>
      <c r="AK14" s="17" t="str">
        <f ca="1">IFERROR(INDEX(RANGES!$C$7:$H$7,1,IF(AO14&lt;=INDIRECT("RANGES!C"&amp;7+AJ14),1,IF(AO14&lt;=INDIRECT("RANGES!D"&amp;7+AJ14),2,IF(AO14&lt;=INDIRECT("RANGES!E"&amp;7+AJ14),3,IF(AO14&lt;=INDIRECT("RANGES!F"&amp;7+AJ14),4,IF(AO14&lt;=INDIRECT("RANGES!G"&amp;7+AJ14),5,6)))))),"")</f>
        <v/>
      </c>
      <c r="AL14" s="17">
        <f t="shared" si="14"/>
        <v>0</v>
      </c>
      <c r="AM14" s="17" t="str">
        <f t="shared" si="15"/>
        <v/>
      </c>
      <c r="AN14" s="17" t="str">
        <f t="shared" si="28"/>
        <v/>
      </c>
      <c r="AO14" s="17" t="str">
        <f t="shared" si="29"/>
        <v/>
      </c>
      <c r="AP14" s="17" t="str">
        <f t="shared" si="16"/>
        <v/>
      </c>
      <c r="AQ14" s="17" t="str">
        <f t="shared" si="30"/>
        <v/>
      </c>
      <c r="AR14" s="17" t="str">
        <f t="shared" si="31"/>
        <v/>
      </c>
      <c r="AS14" s="17" t="str">
        <f t="shared" si="32"/>
        <v/>
      </c>
      <c r="AT14" s="7" t="str">
        <f t="shared" si="17"/>
        <v/>
      </c>
      <c r="AU14" s="10" t="str">
        <f t="shared" si="33"/>
        <v/>
      </c>
      <c r="AV14" s="7" t="str">
        <f t="shared" si="18"/>
        <v/>
      </c>
      <c r="AW14" s="21" t="str">
        <f t="shared" si="34"/>
        <v/>
      </c>
      <c r="AX14" s="21" t="str">
        <f t="shared" si="19"/>
        <v/>
      </c>
      <c r="AY14" s="7" t="str">
        <f t="shared" si="35"/>
        <v/>
      </c>
      <c r="AZ14" s="7" t="str">
        <f t="shared" si="36"/>
        <v/>
      </c>
    </row>
    <row r="15" spans="1:52" ht="13.2">
      <c r="A15" s="7" t="str">
        <f>HIDDEN!H14</f>
        <v/>
      </c>
      <c r="B15" s="7" t="str">
        <f>IFERROR(MATCH(A15,'3)PACIENTES'!$A$2:$A$97,0),"")</f>
        <v/>
      </c>
      <c r="C15" s="24" t="str">
        <f>IFERROR(INDEX('3)PACIENTES'!D$2:D$97,SAMPLES!$B15),"")</f>
        <v/>
      </c>
      <c r="D15" s="24" t="str">
        <f>IFERROR(INDEX('3)PACIENTES'!B$2:B$97,SAMPLES!$B15),"")</f>
        <v/>
      </c>
      <c r="E15" s="24" t="str">
        <f>IFERROR(INDEX('3)PACIENTES'!$C$2:$C107,SAMPLES!$B15),"")</f>
        <v/>
      </c>
      <c r="F15" s="22">
        <f>'3)PACIENTES'!$F$2</f>
        <v>44039</v>
      </c>
      <c r="G15" s="13" t="str">
        <f>IFERROR(INDEX('3)PACIENTES'!E$2:E$97,SAMPLES!$B15),"")</f>
        <v/>
      </c>
      <c r="H15" s="17" t="str">
        <f t="shared" si="0"/>
        <v/>
      </c>
      <c r="I15" s="17" t="str">
        <f t="shared" si="20"/>
        <v/>
      </c>
      <c r="J15" s="32" t="str">
        <f t="array" ref="J15">IFERROR(INDEX('1)qPCR'!$E$2:$E$97,MATCH(INDEX(HIDDEN!$C$1:$C$96,SMALL(IF(HIDDEN!$B$1:$B$96=$A15&amp;";"&amp;J$1,ROW(HIDDEN!$B$1:$B$96)-ROW(INDEX(HIDDEN!$B$1:$B$96,1,1))+1),J$2)),'1)qPCR'!$A$2:$A$97,0)),"")</f>
        <v/>
      </c>
      <c r="K15" s="32" t="str">
        <f t="array" ref="K15">IFERROR(INDEX('1)qPCR'!$E$2:$E$97,MATCH(INDEX(HIDDEN!$C$1:$C$96,SMALL(IF(HIDDEN!$B$1:$B$96=$A15&amp;";"&amp;K$1,ROW(HIDDEN!$B$1:$B$96)-ROW(INDEX(HIDDEN!$B$1:$B$96,1,1))+1),K$2)),'1)qPCR'!$A$2:$A$97,0)),"")</f>
        <v/>
      </c>
      <c r="L15" s="32" t="str">
        <f t="array" ref="L15">IFERROR(INDEX('1)qPCR'!$E$2:$E$97,MATCH(INDEX(HIDDEN!$C$1:$C$96,SMALL(IF(HIDDEN!$B$1:$B$96=$A15&amp;";"&amp;L$1,ROW(HIDDEN!$B$1:$B$96)-ROW(INDEX(HIDDEN!$B$1:$B$96,1,1))+1),L$2)),'1)qPCR'!$A$2:$A$97,0)),"")</f>
        <v/>
      </c>
      <c r="M15" s="32" t="str">
        <f t="array" ref="M15">IFERROR(INDEX('1)qPCR'!$E$2:$E$97,MATCH(INDEX(HIDDEN!$C$1:$C$96,SMALL(IF(HIDDEN!$B$1:$B$96=$A15&amp;";"&amp;M$1,ROW(HIDDEN!$B$1:$B$96)-ROW(INDEX(HIDDEN!$B$1:$B$96,1,1))+1),M$2)),'1)qPCR'!$A$2:$A$97,0)),"")</f>
        <v/>
      </c>
      <c r="N15" s="32" t="str">
        <f t="array" ref="N15">IFERROR(INDEX('1)qPCR'!$E$2:$E$97,MATCH(INDEX(HIDDEN!$C$1:$C$96,SMALL(IF(HIDDEN!$B$1:$B$96=$A15&amp;";"&amp;N$1,ROW(HIDDEN!$B$1:$B$96)-ROW(INDEX(HIDDEN!$B$1:$B$96,1,1))+1),N$2)),'1)qPCR'!$A$2:$A$97,0)),"")</f>
        <v/>
      </c>
      <c r="O15" s="32" t="str">
        <f t="array" ref="O15">IFERROR(INDEX('1)qPCR'!$E$2:$E$97,MATCH(INDEX(HIDDEN!$C$1:$C$96,SMALL(IF(HIDDEN!$B$1:$B$96=$A15&amp;";"&amp;O$1,ROW(HIDDEN!$B$1:$B$96)-ROW(INDEX(HIDDEN!$B$1:$B$96,1,1))+1),O$2)),'1)qPCR'!$A$2:$A$97,0)),"")</f>
        <v/>
      </c>
      <c r="P15" s="7" t="str">
        <f t="shared" si="1"/>
        <v/>
      </c>
      <c r="Q15" s="18" t="str">
        <f>IFERROR(P15/H15,"")</f>
        <v/>
      </c>
      <c r="R15" s="7" t="str">
        <f t="shared" si="2"/>
        <v/>
      </c>
      <c r="S15" s="18" t="str">
        <f t="shared" si="4"/>
        <v/>
      </c>
      <c r="T15" s="10" t="str">
        <f>IFERROR(H15-$H$3,"")</f>
        <v/>
      </c>
      <c r="U15" s="10" t="str">
        <f t="shared" si="22"/>
        <v/>
      </c>
      <c r="V15" s="17" t="str">
        <f t="shared" si="23"/>
        <v/>
      </c>
      <c r="W15" s="17" t="str">
        <f t="shared" si="24"/>
        <v/>
      </c>
      <c r="X15" s="17" t="str">
        <f t="shared" ref="X15:X50" si="37">IFERROR(695*W15,"")</f>
        <v/>
      </c>
      <c r="Y15" s="17" t="str">
        <f t="shared" ref="Y15:Y50" si="38">IFERROR(16*W15,"")</f>
        <v/>
      </c>
      <c r="Z15" s="17" t="str">
        <f t="shared" si="6"/>
        <v/>
      </c>
      <c r="AA15" s="17" t="str">
        <f t="shared" si="7"/>
        <v/>
      </c>
      <c r="AB15" s="17" t="str">
        <f t="shared" ref="AB15:AB50" si="39">IFERROR(Z15-AA15,"")</f>
        <v/>
      </c>
      <c r="AC15" s="17" t="str">
        <f t="shared" ref="AC15:AC50" si="40">IFERROR(Z15+AA15,"")</f>
        <v/>
      </c>
      <c r="AD15" s="17" t="str">
        <f t="shared" si="10"/>
        <v/>
      </c>
      <c r="AE15" s="17" t="str">
        <f t="shared" si="11"/>
        <v/>
      </c>
      <c r="AF15" s="17" t="str">
        <f t="shared" si="12"/>
        <v/>
      </c>
      <c r="AG15" s="17">
        <f t="shared" si="26"/>
        <v>0</v>
      </c>
      <c r="AH15" s="17">
        <f t="shared" si="13"/>
        <v>0</v>
      </c>
      <c r="AI15" s="17">
        <f t="shared" si="27"/>
        <v>0</v>
      </c>
      <c r="AJ15" s="17" t="str">
        <f>IF(AP15="","",IF(AP15&lt;=RANGES!$A$8,1,IF(AP15&lt;=RANGES!$A$9,2,IF(AP15&lt;=RANGES!$A$10,3,IF(AP15&lt;=RANGES!$A$11,4,IF(AP15&lt;=RANGES!$A$12,5,IF(AP15&lt;=RANGES!$A$13,6,IF(AP15&lt;=RANGES!$A$14,7,8))))))))</f>
        <v/>
      </c>
      <c r="AK15" s="17" t="str">
        <f ca="1">IFERROR(INDEX(RANGES!$C$7:$H$7,1,IF(AO15&lt;=INDIRECT("RANGES!C"&amp;7+AJ15),1,IF(AO15&lt;=INDIRECT("RANGES!D"&amp;7+AJ15),2,IF(AO15&lt;=INDIRECT("RANGES!E"&amp;7+AJ15),3,IF(AO15&lt;=INDIRECT("RANGES!F"&amp;7+AJ15),4,IF(AO15&lt;=INDIRECT("RANGES!G"&amp;7+AJ15),5,6)))))),"")</f>
        <v/>
      </c>
      <c r="AL15" s="17">
        <f t="shared" si="14"/>
        <v>0</v>
      </c>
      <c r="AM15" s="17" t="str">
        <f t="shared" si="15"/>
        <v/>
      </c>
      <c r="AN15" s="17" t="str">
        <f t="shared" si="28"/>
        <v/>
      </c>
      <c r="AO15" s="17" t="str">
        <f t="shared" si="29"/>
        <v/>
      </c>
      <c r="AP15" s="17" t="str">
        <f t="shared" si="16"/>
        <v/>
      </c>
      <c r="AQ15" s="17" t="str">
        <f t="shared" si="30"/>
        <v/>
      </c>
      <c r="AR15" s="17" t="str">
        <f t="shared" si="31"/>
        <v/>
      </c>
      <c r="AS15" s="17" t="str">
        <f t="shared" si="32"/>
        <v/>
      </c>
      <c r="AT15" s="7" t="str">
        <f t="shared" si="17"/>
        <v/>
      </c>
      <c r="AU15" s="10" t="str">
        <f t="shared" si="33"/>
        <v/>
      </c>
      <c r="AV15" s="7" t="str">
        <f t="shared" si="18"/>
        <v/>
      </c>
      <c r="AW15" s="21" t="str">
        <f t="shared" si="34"/>
        <v/>
      </c>
      <c r="AX15" s="21" t="str">
        <f t="shared" si="19"/>
        <v/>
      </c>
      <c r="AY15" s="7" t="str">
        <f t="shared" si="35"/>
        <v/>
      </c>
      <c r="AZ15" s="7" t="str">
        <f t="shared" si="36"/>
        <v/>
      </c>
    </row>
    <row r="16" spans="1:52" ht="13.2">
      <c r="A16" s="7" t="str">
        <f>HIDDEN!H15</f>
        <v/>
      </c>
      <c r="B16" s="7" t="str">
        <f>IFERROR(MATCH(A16,'3)PACIENTES'!$A$2:$A$97,0),"")</f>
        <v/>
      </c>
      <c r="C16" s="24" t="str">
        <f>IFERROR(INDEX('3)PACIENTES'!D$2:D$97,SAMPLES!$B16),"")</f>
        <v/>
      </c>
      <c r="D16" s="24" t="str">
        <f>IFERROR(INDEX('3)PACIENTES'!B$2:B$97,SAMPLES!$B16),"")</f>
        <v/>
      </c>
      <c r="E16" s="24" t="str">
        <f>IFERROR(INDEX('3)PACIENTES'!$C$2:$C108,SAMPLES!$B16),"")</f>
        <v/>
      </c>
      <c r="F16" s="22">
        <f>'3)PACIENTES'!$F$2</f>
        <v>44039</v>
      </c>
      <c r="G16" s="13" t="str">
        <f>IFERROR(INDEX('3)PACIENTES'!E$2:E$97,SAMPLES!$B16),"")</f>
        <v/>
      </c>
      <c r="H16" s="17" t="str">
        <f t="shared" si="0"/>
        <v/>
      </c>
      <c r="I16" s="17" t="str">
        <f t="shared" si="20"/>
        <v/>
      </c>
      <c r="J16" s="32" t="str">
        <f t="array" ref="J16">IFERROR(INDEX('1)qPCR'!$E$2:$E$97,MATCH(INDEX(HIDDEN!$C$1:$C$96,SMALL(IF(HIDDEN!$B$1:$B$96=$A16&amp;";"&amp;J$1,ROW(HIDDEN!$B$1:$B$96)-ROW(INDEX(HIDDEN!$B$1:$B$96,1,1))+1),J$2)),'1)qPCR'!$A$2:$A$97,0)),"")</f>
        <v/>
      </c>
      <c r="K16" s="32" t="str">
        <f t="array" ref="K16">IFERROR(INDEX('1)qPCR'!$E$2:$E$97,MATCH(INDEX(HIDDEN!$C$1:$C$96,SMALL(IF(HIDDEN!$B$1:$B$96=$A16&amp;";"&amp;K$1,ROW(HIDDEN!$B$1:$B$96)-ROW(INDEX(HIDDEN!$B$1:$B$96,1,1))+1),K$2)),'1)qPCR'!$A$2:$A$97,0)),"")</f>
        <v/>
      </c>
      <c r="L16" s="32" t="str">
        <f t="array" ref="L16">IFERROR(INDEX('1)qPCR'!$E$2:$E$97,MATCH(INDEX(HIDDEN!$C$1:$C$96,SMALL(IF(HIDDEN!$B$1:$B$96=$A16&amp;";"&amp;L$1,ROW(HIDDEN!$B$1:$B$96)-ROW(INDEX(HIDDEN!$B$1:$B$96,1,1))+1),L$2)),'1)qPCR'!$A$2:$A$97,0)),"")</f>
        <v/>
      </c>
      <c r="M16" s="32" t="str">
        <f t="array" ref="M16">IFERROR(INDEX('1)qPCR'!$E$2:$E$97,MATCH(INDEX(HIDDEN!$C$1:$C$96,SMALL(IF(HIDDEN!$B$1:$B$96=$A16&amp;";"&amp;M$1,ROW(HIDDEN!$B$1:$B$96)-ROW(INDEX(HIDDEN!$B$1:$B$96,1,1))+1),M$2)),'1)qPCR'!$A$2:$A$97,0)),"")</f>
        <v/>
      </c>
      <c r="N16" s="32" t="str">
        <f t="array" ref="N16">IFERROR(INDEX('1)qPCR'!$E$2:$E$97,MATCH(INDEX(HIDDEN!$C$1:$C$96,SMALL(IF(HIDDEN!$B$1:$B$96=$A16&amp;";"&amp;N$1,ROW(HIDDEN!$B$1:$B$96)-ROW(INDEX(HIDDEN!$B$1:$B$96,1,1))+1),N$2)),'1)qPCR'!$A$2:$A$97,0)),"")</f>
        <v/>
      </c>
      <c r="O16" s="32" t="str">
        <f t="array" ref="O16">IFERROR(INDEX('1)qPCR'!$E$2:$E$97,MATCH(INDEX(HIDDEN!$C$1:$C$96,SMALL(IF(HIDDEN!$B$1:$B$96=$A16&amp;";"&amp;O$1,ROW(HIDDEN!$B$1:$B$96)-ROW(INDEX(HIDDEN!$B$1:$B$96,1,1))+1),O$2)),'1)qPCR'!$A$2:$A$97,0)),"")</f>
        <v/>
      </c>
      <c r="P16" s="7" t="str">
        <f t="shared" si="1"/>
        <v/>
      </c>
      <c r="Q16" s="18" t="str">
        <f t="shared" si="3"/>
        <v/>
      </c>
      <c r="R16" s="7" t="str">
        <f t="shared" si="2"/>
        <v/>
      </c>
      <c r="S16" s="18" t="str">
        <f t="shared" si="4"/>
        <v/>
      </c>
      <c r="T16" s="10" t="str">
        <f t="shared" si="21"/>
        <v/>
      </c>
      <c r="U16" s="10" t="str">
        <f t="shared" si="22"/>
        <v/>
      </c>
      <c r="V16" s="17" t="str">
        <f t="shared" si="23"/>
        <v/>
      </c>
      <c r="W16" s="17" t="str">
        <f t="shared" si="24"/>
        <v/>
      </c>
      <c r="X16" s="17" t="str">
        <f t="shared" si="37"/>
        <v/>
      </c>
      <c r="Y16" s="17" t="str">
        <f t="shared" si="38"/>
        <v/>
      </c>
      <c r="Z16" s="17" t="str">
        <f t="shared" si="6"/>
        <v/>
      </c>
      <c r="AA16" s="17" t="str">
        <f t="shared" si="7"/>
        <v/>
      </c>
      <c r="AB16" s="17" t="str">
        <f t="shared" si="39"/>
        <v/>
      </c>
      <c r="AC16" s="17" t="str">
        <f t="shared" si="40"/>
        <v/>
      </c>
      <c r="AD16" s="17" t="str">
        <f t="shared" si="10"/>
        <v/>
      </c>
      <c r="AE16" s="17" t="str">
        <f t="shared" si="11"/>
        <v/>
      </c>
      <c r="AF16" s="17" t="str">
        <f t="shared" si="12"/>
        <v/>
      </c>
      <c r="AG16" s="17">
        <f t="shared" si="26"/>
        <v>0</v>
      </c>
      <c r="AH16" s="17">
        <f t="shared" si="13"/>
        <v>0</v>
      </c>
      <c r="AI16" s="17">
        <f t="shared" si="27"/>
        <v>0</v>
      </c>
      <c r="AJ16" s="17" t="str">
        <f>IF(AP16="","",IF(AP16&lt;=RANGES!$A$8,1,IF(AP16&lt;=RANGES!$A$9,2,IF(AP16&lt;=RANGES!$A$10,3,IF(AP16&lt;=RANGES!$A$11,4,IF(AP16&lt;=RANGES!$A$12,5,IF(AP16&lt;=RANGES!$A$13,6,IF(AP16&lt;=RANGES!$A$14,7,8))))))))</f>
        <v/>
      </c>
      <c r="AK16" s="17" t="str">
        <f ca="1">IFERROR(INDEX(RANGES!$C$7:$H$7,1,IF(AO16&lt;=INDIRECT("RANGES!C"&amp;7+AJ16),1,IF(AO16&lt;=INDIRECT("RANGES!D"&amp;7+AJ16),2,IF(AO16&lt;=INDIRECT("RANGES!E"&amp;7+AJ16),3,IF(AO16&lt;=INDIRECT("RANGES!F"&amp;7+AJ16),4,IF(AO16&lt;=INDIRECT("RANGES!G"&amp;7+AJ16),5,6)))))),"")</f>
        <v/>
      </c>
      <c r="AL16" s="17">
        <f t="shared" si="14"/>
        <v>0</v>
      </c>
      <c r="AM16" s="17" t="str">
        <f t="shared" si="15"/>
        <v/>
      </c>
      <c r="AN16" s="17" t="str">
        <f t="shared" si="28"/>
        <v/>
      </c>
      <c r="AO16" s="17" t="str">
        <f t="shared" si="29"/>
        <v/>
      </c>
      <c r="AP16" s="17" t="str">
        <f t="shared" si="16"/>
        <v/>
      </c>
      <c r="AQ16" s="17" t="str">
        <f t="shared" si="30"/>
        <v/>
      </c>
      <c r="AR16" s="17" t="str">
        <f t="shared" si="31"/>
        <v/>
      </c>
      <c r="AS16" s="17" t="str">
        <f t="shared" si="32"/>
        <v/>
      </c>
      <c r="AT16" s="7" t="str">
        <f t="shared" si="17"/>
        <v/>
      </c>
      <c r="AU16" s="10" t="str">
        <f t="shared" si="33"/>
        <v/>
      </c>
      <c r="AV16" s="7" t="str">
        <f t="shared" si="18"/>
        <v/>
      </c>
      <c r="AW16" s="21" t="str">
        <f t="shared" si="34"/>
        <v/>
      </c>
      <c r="AX16" s="21" t="str">
        <f t="shared" si="19"/>
        <v/>
      </c>
      <c r="AY16" s="7" t="str">
        <f t="shared" si="35"/>
        <v/>
      </c>
      <c r="AZ16" s="7" t="str">
        <f t="shared" si="36"/>
        <v/>
      </c>
    </row>
    <row r="17" spans="1:52" s="26" customFormat="1" ht="13.2">
      <c r="A17" s="7" t="str">
        <f>HIDDEN!H16</f>
        <v/>
      </c>
      <c r="B17" s="7" t="str">
        <f>IFERROR(MATCH(A17,'3)PACIENTES'!$A$2:$A$97,0),"")</f>
        <v/>
      </c>
      <c r="C17" s="24" t="str">
        <f>IFERROR(INDEX('3)PACIENTES'!D$2:D$97,SAMPLES!$B17),"")</f>
        <v/>
      </c>
      <c r="D17" s="24" t="str">
        <f>IFERROR(INDEX('3)PACIENTES'!B$2:B$97,SAMPLES!$B17),"")</f>
        <v/>
      </c>
      <c r="E17" s="24" t="str">
        <f>IFERROR(INDEX('3)PACIENTES'!$C$2:$C109,SAMPLES!$B17),"")</f>
        <v/>
      </c>
      <c r="F17" s="22">
        <f>'3)PACIENTES'!$F$2</f>
        <v>44039</v>
      </c>
      <c r="G17" s="13" t="str">
        <f>IFERROR(INDEX('3)PACIENTES'!E$2:E$97,SAMPLES!$B17),"")</f>
        <v/>
      </c>
      <c r="H17" s="17" t="str">
        <f t="shared" si="0"/>
        <v/>
      </c>
      <c r="I17" s="17" t="str">
        <f t="shared" si="20"/>
        <v/>
      </c>
      <c r="J17" s="32" t="str">
        <f t="array" ref="J17">IFERROR(INDEX('1)qPCR'!$E$2:$E$97,MATCH(INDEX(HIDDEN!$C$1:$C$96,SMALL(IF(HIDDEN!$B$1:$B$96=$A17&amp;";"&amp;J$1,ROW(HIDDEN!$B$1:$B$96)-ROW(INDEX(HIDDEN!$B$1:$B$96,1,1))+1),J$2)),'1)qPCR'!$A$2:$A$97,0)),"")</f>
        <v/>
      </c>
      <c r="K17" s="32" t="str">
        <f t="array" ref="K17">IFERROR(INDEX('1)qPCR'!$E$2:$E$97,MATCH(INDEX(HIDDEN!$C$1:$C$96,SMALL(IF(HIDDEN!$B$1:$B$96=$A17&amp;";"&amp;K$1,ROW(HIDDEN!$B$1:$B$96)-ROW(INDEX(HIDDEN!$B$1:$B$96,1,1))+1),K$2)),'1)qPCR'!$A$2:$A$97,0)),"")</f>
        <v/>
      </c>
      <c r="L17" s="32" t="str">
        <f t="array" ref="L17">IFERROR(INDEX('1)qPCR'!$E$2:$E$97,MATCH(INDEX(HIDDEN!$C$1:$C$96,SMALL(IF(HIDDEN!$B$1:$B$96=$A17&amp;";"&amp;L$1,ROW(HIDDEN!$B$1:$B$96)-ROW(INDEX(HIDDEN!$B$1:$B$96,1,1))+1),L$2)),'1)qPCR'!$A$2:$A$97,0)),"")</f>
        <v/>
      </c>
      <c r="M17" s="32" t="str">
        <f t="array" ref="M17">IFERROR(INDEX('1)qPCR'!$E$2:$E$97,MATCH(INDEX(HIDDEN!$C$1:$C$96,SMALL(IF(HIDDEN!$B$1:$B$96=$A17&amp;";"&amp;M$1,ROW(HIDDEN!$B$1:$B$96)-ROW(INDEX(HIDDEN!$B$1:$B$96,1,1))+1),M$2)),'1)qPCR'!$A$2:$A$97,0)),"")</f>
        <v/>
      </c>
      <c r="N17" s="32" t="str">
        <f t="array" ref="N17">IFERROR(INDEX('1)qPCR'!$E$2:$E$97,MATCH(INDEX(HIDDEN!$C$1:$C$96,SMALL(IF(HIDDEN!$B$1:$B$96=$A17&amp;";"&amp;N$1,ROW(HIDDEN!$B$1:$B$96)-ROW(INDEX(HIDDEN!$B$1:$B$96,1,1))+1),N$2)),'1)qPCR'!$A$2:$A$97,0)),"")</f>
        <v/>
      </c>
      <c r="O17" s="32" t="str">
        <f t="array" ref="O17">IFERROR(INDEX('1)qPCR'!$E$2:$E$97,MATCH(INDEX(HIDDEN!$C$1:$C$96,SMALL(IF(HIDDEN!$B$1:$B$96=$A17&amp;";"&amp;O$1,ROW(HIDDEN!$B$1:$B$96)-ROW(INDEX(HIDDEN!$B$1:$B$96,1,1))+1),O$2)),'1)qPCR'!$A$2:$A$97,0)),"")</f>
        <v/>
      </c>
      <c r="P17" s="7" t="str">
        <f t="shared" si="1"/>
        <v/>
      </c>
      <c r="Q17" s="18" t="str">
        <f t="shared" si="3"/>
        <v/>
      </c>
      <c r="R17" s="7" t="str">
        <f t="shared" si="2"/>
        <v/>
      </c>
      <c r="S17" s="18" t="str">
        <f t="shared" si="4"/>
        <v/>
      </c>
      <c r="T17" s="10" t="str">
        <f t="shared" si="21"/>
        <v/>
      </c>
      <c r="U17" s="10" t="str">
        <f t="shared" si="22"/>
        <v/>
      </c>
      <c r="V17" s="17" t="str">
        <f t="shared" si="23"/>
        <v/>
      </c>
      <c r="W17" s="17" t="str">
        <f t="shared" si="24"/>
        <v/>
      </c>
      <c r="X17" s="17" t="str">
        <f t="shared" si="37"/>
        <v/>
      </c>
      <c r="Y17" s="17" t="str">
        <f t="shared" si="38"/>
        <v/>
      </c>
      <c r="Z17" s="17" t="str">
        <f t="shared" si="6"/>
        <v/>
      </c>
      <c r="AA17" s="17" t="str">
        <f t="shared" si="7"/>
        <v/>
      </c>
      <c r="AB17" s="17" t="str">
        <f t="shared" si="39"/>
        <v/>
      </c>
      <c r="AC17" s="17" t="str">
        <f t="shared" si="40"/>
        <v/>
      </c>
      <c r="AD17" s="17" t="str">
        <f t="shared" si="10"/>
        <v/>
      </c>
      <c r="AE17" s="17" t="str">
        <f t="shared" si="11"/>
        <v/>
      </c>
      <c r="AF17" s="17" t="str">
        <f t="shared" si="12"/>
        <v/>
      </c>
      <c r="AG17" s="17">
        <f t="shared" si="26"/>
        <v>0</v>
      </c>
      <c r="AH17" s="17">
        <f t="shared" si="13"/>
        <v>0</v>
      </c>
      <c r="AI17" s="17">
        <f t="shared" si="27"/>
        <v>0</v>
      </c>
      <c r="AJ17" s="17" t="str">
        <f>IF(AP17="","",IF(AP17&lt;=RANGES!$A$8,1,IF(AP17&lt;=RANGES!$A$9,2,IF(AP17&lt;=RANGES!$A$10,3,IF(AP17&lt;=RANGES!$A$11,4,IF(AP17&lt;=RANGES!$A$12,5,IF(AP17&lt;=RANGES!$A$13,6,IF(AP17&lt;=RANGES!$A$14,7,8))))))))</f>
        <v/>
      </c>
      <c r="AK17" s="17" t="str">
        <f ca="1">IFERROR(INDEX(RANGES!$C$7:$H$7,1,IF(AO17&lt;=INDIRECT("RANGES!C"&amp;7+AJ17),1,IF(AO17&lt;=INDIRECT("RANGES!D"&amp;7+AJ17),2,IF(AO17&lt;=INDIRECT("RANGES!E"&amp;7+AJ17),3,IF(AO17&lt;=INDIRECT("RANGES!F"&amp;7+AJ17),4,IF(AO17&lt;=INDIRECT("RANGES!G"&amp;7+AJ17),5,6)))))),"")</f>
        <v/>
      </c>
      <c r="AL17" s="17">
        <f t="shared" si="14"/>
        <v>0</v>
      </c>
      <c r="AM17" s="17" t="str">
        <f t="shared" si="15"/>
        <v/>
      </c>
      <c r="AN17" s="17" t="str">
        <f t="shared" si="28"/>
        <v/>
      </c>
      <c r="AO17" s="17" t="str">
        <f t="shared" si="29"/>
        <v/>
      </c>
      <c r="AP17" s="17" t="str">
        <f t="shared" si="16"/>
        <v/>
      </c>
      <c r="AQ17" s="17" t="str">
        <f t="shared" si="30"/>
        <v/>
      </c>
      <c r="AR17" s="17" t="str">
        <f t="shared" si="31"/>
        <v/>
      </c>
      <c r="AS17" s="17" t="str">
        <f t="shared" si="32"/>
        <v/>
      </c>
      <c r="AT17" s="7" t="str">
        <f t="shared" si="17"/>
        <v/>
      </c>
      <c r="AU17" s="10" t="str">
        <f t="shared" si="33"/>
        <v/>
      </c>
      <c r="AV17" s="7" t="str">
        <f t="shared" si="18"/>
        <v/>
      </c>
      <c r="AW17" s="21" t="str">
        <f t="shared" si="34"/>
        <v/>
      </c>
      <c r="AX17" s="21" t="str">
        <f t="shared" si="19"/>
        <v/>
      </c>
      <c r="AY17" s="7" t="str">
        <f t="shared" si="35"/>
        <v/>
      </c>
      <c r="AZ17" s="7" t="str">
        <f t="shared" si="36"/>
        <v/>
      </c>
    </row>
    <row r="18" spans="1:52" ht="13.2">
      <c r="A18" s="7" t="str">
        <f>HIDDEN!H17</f>
        <v/>
      </c>
      <c r="B18" s="7" t="str">
        <f>IFERROR(MATCH(A18,'3)PACIENTES'!$A$2:$A$97,0),"")</f>
        <v/>
      </c>
      <c r="C18" s="24" t="str">
        <f>IFERROR(INDEX('3)PACIENTES'!D$2:D$97,SAMPLES!$B18),"")</f>
        <v/>
      </c>
      <c r="D18" s="24" t="str">
        <f>IFERROR(INDEX('3)PACIENTES'!B$2:B$97,SAMPLES!$B18),"")</f>
        <v/>
      </c>
      <c r="E18" s="24" t="str">
        <f>IFERROR(INDEX('3)PACIENTES'!$C$2:$C110,SAMPLES!$B18),"")</f>
        <v/>
      </c>
      <c r="F18" s="22">
        <f>'3)PACIENTES'!$F$2</f>
        <v>44039</v>
      </c>
      <c r="G18" s="13" t="str">
        <f>IFERROR(INDEX('3)PACIENTES'!E$2:E$97,SAMPLES!$B18),"")</f>
        <v/>
      </c>
      <c r="H18" s="17" t="str">
        <f t="shared" si="0"/>
        <v/>
      </c>
      <c r="I18" s="17" t="str">
        <f t="shared" si="20"/>
        <v/>
      </c>
      <c r="J18" s="32" t="str">
        <f t="array" ref="J18">IFERROR(INDEX('1)qPCR'!$E$2:$E$97,MATCH(INDEX(HIDDEN!$C$1:$C$96,SMALL(IF(HIDDEN!$B$1:$B$96=$A18&amp;";"&amp;J$1,ROW(HIDDEN!$B$1:$B$96)-ROW(INDEX(HIDDEN!$B$1:$B$96,1,1))+1),J$2)),'1)qPCR'!$A$2:$A$97,0)),"")</f>
        <v/>
      </c>
      <c r="K18" s="32" t="str">
        <f t="array" ref="K18">IFERROR(INDEX('1)qPCR'!$E$2:$E$97,MATCH(INDEX(HIDDEN!$C$1:$C$96,SMALL(IF(HIDDEN!$B$1:$B$96=$A18&amp;";"&amp;K$1,ROW(HIDDEN!$B$1:$B$96)-ROW(INDEX(HIDDEN!$B$1:$B$96,1,1))+1),K$2)),'1)qPCR'!$A$2:$A$97,0)),"")</f>
        <v/>
      </c>
      <c r="L18" s="32" t="str">
        <f t="array" ref="L18">IFERROR(INDEX('1)qPCR'!$E$2:$E$97,MATCH(INDEX(HIDDEN!$C$1:$C$96,SMALL(IF(HIDDEN!$B$1:$B$96=$A18&amp;";"&amp;L$1,ROW(HIDDEN!$B$1:$B$96)-ROW(INDEX(HIDDEN!$B$1:$B$96,1,1))+1),L$2)),'1)qPCR'!$A$2:$A$97,0)),"")</f>
        <v/>
      </c>
      <c r="M18" s="32" t="str">
        <f t="array" ref="M18">IFERROR(INDEX('1)qPCR'!$E$2:$E$97,MATCH(INDEX(HIDDEN!$C$1:$C$96,SMALL(IF(HIDDEN!$B$1:$B$96=$A18&amp;";"&amp;M$1,ROW(HIDDEN!$B$1:$B$96)-ROW(INDEX(HIDDEN!$B$1:$B$96,1,1))+1),M$2)),'1)qPCR'!$A$2:$A$97,0)),"")</f>
        <v/>
      </c>
      <c r="N18" s="32" t="str">
        <f t="array" ref="N18">IFERROR(INDEX('1)qPCR'!$E$2:$E$97,MATCH(INDEX(HIDDEN!$C$1:$C$96,SMALL(IF(HIDDEN!$B$1:$B$96=$A18&amp;";"&amp;N$1,ROW(HIDDEN!$B$1:$B$96)-ROW(INDEX(HIDDEN!$B$1:$B$96,1,1))+1),N$2)),'1)qPCR'!$A$2:$A$97,0)),"")</f>
        <v/>
      </c>
      <c r="O18" s="32" t="str">
        <f t="array" ref="O18">IFERROR(INDEX('1)qPCR'!$E$2:$E$97,MATCH(INDEX(HIDDEN!$C$1:$C$96,SMALL(IF(HIDDEN!$B$1:$B$96=$A18&amp;";"&amp;O$1,ROW(HIDDEN!$B$1:$B$96)-ROW(INDEX(HIDDEN!$B$1:$B$96,1,1))+1),O$2)),'1)qPCR'!$A$2:$A$97,0)),"")</f>
        <v/>
      </c>
      <c r="P18" s="7" t="str">
        <f t="shared" si="1"/>
        <v/>
      </c>
      <c r="Q18" s="18" t="str">
        <f t="shared" si="3"/>
        <v/>
      </c>
      <c r="R18" s="7" t="str">
        <f t="shared" si="2"/>
        <v/>
      </c>
      <c r="S18" s="18" t="str">
        <f t="shared" si="4"/>
        <v/>
      </c>
      <c r="T18" s="10" t="str">
        <f t="shared" si="21"/>
        <v/>
      </c>
      <c r="U18" s="10" t="str">
        <f t="shared" si="22"/>
        <v/>
      </c>
      <c r="V18" s="17" t="str">
        <f t="shared" si="23"/>
        <v/>
      </c>
      <c r="W18" s="17" t="str">
        <f t="shared" si="24"/>
        <v/>
      </c>
      <c r="X18" s="17" t="str">
        <f t="shared" si="37"/>
        <v/>
      </c>
      <c r="Y18" s="17" t="str">
        <f t="shared" si="38"/>
        <v/>
      </c>
      <c r="Z18" s="17" t="str">
        <f t="shared" si="6"/>
        <v/>
      </c>
      <c r="AA18" s="17" t="str">
        <f t="shared" si="7"/>
        <v/>
      </c>
      <c r="AB18" s="17" t="str">
        <f t="shared" si="39"/>
        <v/>
      </c>
      <c r="AC18" s="17" t="str">
        <f t="shared" si="40"/>
        <v/>
      </c>
      <c r="AD18" s="17" t="str">
        <f t="shared" si="10"/>
        <v/>
      </c>
      <c r="AE18" s="17" t="str">
        <f t="shared" si="11"/>
        <v/>
      </c>
      <c r="AF18" s="17" t="str">
        <f t="shared" si="12"/>
        <v/>
      </c>
      <c r="AG18" s="17">
        <f t="shared" si="26"/>
        <v>0</v>
      </c>
      <c r="AH18" s="17">
        <f t="shared" si="13"/>
        <v>0</v>
      </c>
      <c r="AI18" s="17">
        <f t="shared" si="27"/>
        <v>0</v>
      </c>
      <c r="AJ18" s="17" t="str">
        <f>IF(AP18="","",IF(AP18&lt;=RANGES!$A$8,1,IF(AP18&lt;=RANGES!$A$9,2,IF(AP18&lt;=RANGES!$A$10,3,IF(AP18&lt;=RANGES!$A$11,4,IF(AP18&lt;=RANGES!$A$12,5,IF(AP18&lt;=RANGES!$A$13,6,IF(AP18&lt;=RANGES!$A$14,7,8))))))))</f>
        <v/>
      </c>
      <c r="AK18" s="17" t="str">
        <f ca="1">IFERROR(INDEX(RANGES!$C$7:$H$7,1,IF(AO18&lt;=INDIRECT("RANGES!C"&amp;7+AJ18),1,IF(AO18&lt;=INDIRECT("RANGES!D"&amp;7+AJ18),2,IF(AO18&lt;=INDIRECT("RANGES!E"&amp;7+AJ18),3,IF(AO18&lt;=INDIRECT("RANGES!F"&amp;7+AJ18),4,IF(AO18&lt;=INDIRECT("RANGES!G"&amp;7+AJ18),5,6)))))),"")</f>
        <v/>
      </c>
      <c r="AL18" s="17">
        <f t="shared" si="14"/>
        <v>0</v>
      </c>
      <c r="AM18" s="17" t="str">
        <f t="shared" si="15"/>
        <v/>
      </c>
      <c r="AN18" s="17" t="str">
        <f t="shared" si="28"/>
        <v/>
      </c>
      <c r="AO18" s="17" t="str">
        <f t="shared" si="29"/>
        <v/>
      </c>
      <c r="AP18" s="17" t="str">
        <f t="shared" si="16"/>
        <v/>
      </c>
      <c r="AQ18" s="17" t="str">
        <f t="shared" si="30"/>
        <v/>
      </c>
      <c r="AR18" s="17" t="str">
        <f t="shared" si="31"/>
        <v/>
      </c>
      <c r="AS18" s="17" t="str">
        <f t="shared" si="32"/>
        <v/>
      </c>
      <c r="AT18" s="7" t="str">
        <f t="shared" si="17"/>
        <v/>
      </c>
      <c r="AU18" s="10" t="str">
        <f t="shared" si="33"/>
        <v/>
      </c>
      <c r="AV18" s="7" t="str">
        <f t="shared" si="18"/>
        <v/>
      </c>
      <c r="AW18" s="21" t="str">
        <f t="shared" si="34"/>
        <v/>
      </c>
      <c r="AX18" s="21" t="str">
        <f t="shared" si="19"/>
        <v/>
      </c>
      <c r="AY18" s="7" t="str">
        <f t="shared" si="35"/>
        <v/>
      </c>
      <c r="AZ18" s="7" t="str">
        <f t="shared" si="36"/>
        <v/>
      </c>
    </row>
    <row r="19" spans="1:52" ht="13.2">
      <c r="A19" s="7" t="str">
        <f>HIDDEN!H18</f>
        <v/>
      </c>
      <c r="B19" s="7" t="str">
        <f>IFERROR(MATCH(A19,'3)PACIENTES'!$A$2:$A$97,0),"")</f>
        <v/>
      </c>
      <c r="C19" s="24" t="str">
        <f>IFERROR(INDEX('3)PACIENTES'!D$2:D$97,SAMPLES!$B19),"")</f>
        <v/>
      </c>
      <c r="D19" s="24" t="str">
        <f>IFERROR(INDEX('3)PACIENTES'!B$2:B$97,SAMPLES!$B19),"")</f>
        <v/>
      </c>
      <c r="E19" s="24" t="str">
        <f>IFERROR(INDEX('3)PACIENTES'!$C$2:$C111,SAMPLES!$B19),"")</f>
        <v/>
      </c>
      <c r="F19" s="22">
        <f>'3)PACIENTES'!$F$2</f>
        <v>44039</v>
      </c>
      <c r="G19" s="13" t="str">
        <f>IFERROR(INDEX('3)PACIENTES'!E$2:E$97,SAMPLES!$B19),"")</f>
        <v/>
      </c>
      <c r="H19" s="17" t="str">
        <f t="shared" si="0"/>
        <v/>
      </c>
      <c r="I19" s="17" t="str">
        <f t="shared" si="20"/>
        <v/>
      </c>
      <c r="J19" s="32" t="str">
        <f t="array" ref="J19">IFERROR(INDEX('1)qPCR'!$E$2:$E$97,MATCH(INDEX(HIDDEN!$C$1:$C$96,SMALL(IF(HIDDEN!$B$1:$B$96=$A19&amp;";"&amp;J$1,ROW(HIDDEN!$B$1:$B$96)-ROW(INDEX(HIDDEN!$B$1:$B$96,1,1))+1),J$2)),'1)qPCR'!$A$2:$A$97,0)),"")</f>
        <v/>
      </c>
      <c r="K19" s="32" t="str">
        <f t="array" ref="K19">IFERROR(INDEX('1)qPCR'!$E$2:$E$97,MATCH(INDEX(HIDDEN!$C$1:$C$96,SMALL(IF(HIDDEN!$B$1:$B$96=$A19&amp;";"&amp;K$1,ROW(HIDDEN!$B$1:$B$96)-ROW(INDEX(HIDDEN!$B$1:$B$96,1,1))+1),K$2)),'1)qPCR'!$A$2:$A$97,0)),"")</f>
        <v/>
      </c>
      <c r="L19" s="32" t="str">
        <f t="array" ref="L19">IFERROR(INDEX('1)qPCR'!$E$2:$E$97,MATCH(INDEX(HIDDEN!$C$1:$C$96,SMALL(IF(HIDDEN!$B$1:$B$96=$A19&amp;";"&amp;L$1,ROW(HIDDEN!$B$1:$B$96)-ROW(INDEX(HIDDEN!$B$1:$B$96,1,1))+1),L$2)),'1)qPCR'!$A$2:$A$97,0)),"")</f>
        <v/>
      </c>
      <c r="M19" s="32" t="str">
        <f t="array" ref="M19">IFERROR(INDEX('1)qPCR'!$E$2:$E$97,MATCH(INDEX(HIDDEN!$C$1:$C$96,SMALL(IF(HIDDEN!$B$1:$B$96=$A19&amp;";"&amp;M$1,ROW(HIDDEN!$B$1:$B$96)-ROW(INDEX(HIDDEN!$B$1:$B$96,1,1))+1),M$2)),'1)qPCR'!$A$2:$A$97,0)),"")</f>
        <v/>
      </c>
      <c r="N19" s="32" t="str">
        <f t="array" ref="N19">IFERROR(INDEX('1)qPCR'!$E$2:$E$97,MATCH(INDEX(HIDDEN!$C$1:$C$96,SMALL(IF(HIDDEN!$B$1:$B$96=$A19&amp;";"&amp;N$1,ROW(HIDDEN!$B$1:$B$96)-ROW(INDEX(HIDDEN!$B$1:$B$96,1,1))+1),N$2)),'1)qPCR'!$A$2:$A$97,0)),"")</f>
        <v/>
      </c>
      <c r="O19" s="32" t="str">
        <f t="array" ref="O19">IFERROR(INDEX('1)qPCR'!$E$2:$E$97,MATCH(INDEX(HIDDEN!$C$1:$C$96,SMALL(IF(HIDDEN!$B$1:$B$96=$A19&amp;";"&amp;O$1,ROW(HIDDEN!$B$1:$B$96)-ROW(INDEX(HIDDEN!$B$1:$B$96,1,1))+1),O$2)),'1)qPCR'!$A$2:$A$97,0)),"")</f>
        <v/>
      </c>
      <c r="P19" s="7" t="str">
        <f t="shared" si="1"/>
        <v/>
      </c>
      <c r="Q19" s="18" t="str">
        <f t="shared" si="3"/>
        <v/>
      </c>
      <c r="R19" s="7" t="str">
        <f t="shared" si="2"/>
        <v/>
      </c>
      <c r="S19" s="18" t="str">
        <f t="shared" si="4"/>
        <v/>
      </c>
      <c r="T19" s="10" t="str">
        <f t="shared" si="21"/>
        <v/>
      </c>
      <c r="U19" s="10" t="str">
        <f t="shared" si="22"/>
        <v/>
      </c>
      <c r="V19" s="17" t="str">
        <f t="shared" si="23"/>
        <v/>
      </c>
      <c r="W19" s="17" t="str">
        <f t="shared" si="24"/>
        <v/>
      </c>
      <c r="X19" s="17" t="str">
        <f t="shared" si="37"/>
        <v/>
      </c>
      <c r="Y19" s="17" t="str">
        <f t="shared" si="38"/>
        <v/>
      </c>
      <c r="Z19" s="17" t="str">
        <f t="shared" si="6"/>
        <v/>
      </c>
      <c r="AA19" s="17" t="str">
        <f t="shared" si="7"/>
        <v/>
      </c>
      <c r="AB19" s="17" t="str">
        <f t="shared" si="39"/>
        <v/>
      </c>
      <c r="AC19" s="17" t="str">
        <f t="shared" si="40"/>
        <v/>
      </c>
      <c r="AD19" s="17" t="str">
        <f t="shared" si="10"/>
        <v/>
      </c>
      <c r="AE19" s="17" t="str">
        <f t="shared" si="11"/>
        <v/>
      </c>
      <c r="AF19" s="17" t="str">
        <f t="shared" si="12"/>
        <v/>
      </c>
      <c r="AG19" s="17">
        <f t="shared" si="26"/>
        <v>0</v>
      </c>
      <c r="AH19" s="17">
        <f t="shared" si="13"/>
        <v>0</v>
      </c>
      <c r="AI19" s="17">
        <f t="shared" si="27"/>
        <v>0</v>
      </c>
      <c r="AJ19" s="17" t="str">
        <f>IF(AP19="","",IF(AP19&lt;=RANGES!$A$8,1,IF(AP19&lt;=RANGES!$A$9,2,IF(AP19&lt;=RANGES!$A$10,3,IF(AP19&lt;=RANGES!$A$11,4,IF(AP19&lt;=RANGES!$A$12,5,IF(AP19&lt;=RANGES!$A$13,6,IF(AP19&lt;=RANGES!$A$14,7,8))))))))</f>
        <v/>
      </c>
      <c r="AK19" s="17" t="str">
        <f ca="1">IFERROR(INDEX(RANGES!$C$7:$H$7,1,IF(AO19&lt;=INDIRECT("RANGES!C"&amp;7+AJ19),1,IF(AO19&lt;=INDIRECT("RANGES!D"&amp;7+AJ19),2,IF(AO19&lt;=INDIRECT("RANGES!E"&amp;7+AJ19),3,IF(AO19&lt;=INDIRECT("RANGES!F"&amp;7+AJ19),4,IF(AO19&lt;=INDIRECT("RANGES!G"&amp;7+AJ19),5,6)))))),"")</f>
        <v/>
      </c>
      <c r="AL19" s="17">
        <f t="shared" si="14"/>
        <v>0</v>
      </c>
      <c r="AM19" s="17" t="str">
        <f t="shared" si="15"/>
        <v/>
      </c>
      <c r="AN19" s="17" t="str">
        <f t="shared" si="28"/>
        <v/>
      </c>
      <c r="AO19" s="17" t="str">
        <f t="shared" si="29"/>
        <v/>
      </c>
      <c r="AP19" s="17" t="str">
        <f t="shared" si="16"/>
        <v/>
      </c>
      <c r="AQ19" s="17" t="str">
        <f t="shared" si="30"/>
        <v/>
      </c>
      <c r="AR19" s="17" t="str">
        <f t="shared" si="31"/>
        <v/>
      </c>
      <c r="AS19" s="17" t="str">
        <f t="shared" si="32"/>
        <v/>
      </c>
      <c r="AT19" s="7" t="str">
        <f t="shared" si="17"/>
        <v/>
      </c>
      <c r="AU19" s="10" t="str">
        <f t="shared" si="33"/>
        <v/>
      </c>
      <c r="AV19" s="7" t="str">
        <f t="shared" si="18"/>
        <v/>
      </c>
      <c r="AW19" s="21" t="str">
        <f t="shared" si="34"/>
        <v/>
      </c>
      <c r="AX19" s="21" t="str">
        <f t="shared" si="19"/>
        <v/>
      </c>
      <c r="AY19" s="7" t="str">
        <f t="shared" si="35"/>
        <v/>
      </c>
      <c r="AZ19" s="7" t="str">
        <f t="shared" si="36"/>
        <v/>
      </c>
    </row>
    <row r="20" spans="1:52" ht="13.2">
      <c r="A20" s="7" t="str">
        <f>HIDDEN!H19</f>
        <v/>
      </c>
      <c r="B20" s="7" t="str">
        <f>IFERROR(MATCH(A20,'3)PACIENTES'!$A$2:$A$97,0),"")</f>
        <v/>
      </c>
      <c r="C20" s="24" t="str">
        <f>IFERROR(INDEX('3)PACIENTES'!D$2:D$97,SAMPLES!$B20),"")</f>
        <v/>
      </c>
      <c r="D20" s="24" t="str">
        <f>IFERROR(INDEX('3)PACIENTES'!B$2:B$97,SAMPLES!$B20),"")</f>
        <v/>
      </c>
      <c r="E20" s="24" t="str">
        <f>IFERROR(INDEX('3)PACIENTES'!$C$2:$C112,SAMPLES!$B20),"")</f>
        <v/>
      </c>
      <c r="F20" s="22">
        <f>'3)PACIENTES'!$F$2</f>
        <v>44039</v>
      </c>
      <c r="G20" s="13" t="str">
        <f>IFERROR(INDEX('3)PACIENTES'!E$2:E$97,SAMPLES!$B20),"")</f>
        <v/>
      </c>
      <c r="H20" s="17" t="str">
        <f t="shared" si="0"/>
        <v/>
      </c>
      <c r="I20" s="17" t="str">
        <f t="shared" si="20"/>
        <v/>
      </c>
      <c r="J20" s="32" t="str">
        <f t="array" ref="J20">IFERROR(INDEX('1)qPCR'!$E$2:$E$97,MATCH(INDEX(HIDDEN!$C$1:$C$96,SMALL(IF(HIDDEN!$B$1:$B$96=$A20&amp;";"&amp;J$1,ROW(HIDDEN!$B$1:$B$96)-ROW(INDEX(HIDDEN!$B$1:$B$96,1,1))+1),J$2)),'1)qPCR'!$A$2:$A$97,0)),"")</f>
        <v/>
      </c>
      <c r="K20" s="32" t="str">
        <f t="array" ref="K20">IFERROR(INDEX('1)qPCR'!$E$2:$E$97,MATCH(INDEX(HIDDEN!$C$1:$C$96,SMALL(IF(HIDDEN!$B$1:$B$96=$A20&amp;";"&amp;K$1,ROW(HIDDEN!$B$1:$B$96)-ROW(INDEX(HIDDEN!$B$1:$B$96,1,1))+1),K$2)),'1)qPCR'!$A$2:$A$97,0)),"")</f>
        <v/>
      </c>
      <c r="L20" s="32" t="str">
        <f t="array" ref="L20">IFERROR(INDEX('1)qPCR'!$E$2:$E$97,MATCH(INDEX(HIDDEN!$C$1:$C$96,SMALL(IF(HIDDEN!$B$1:$B$96=$A20&amp;";"&amp;L$1,ROW(HIDDEN!$B$1:$B$96)-ROW(INDEX(HIDDEN!$B$1:$B$96,1,1))+1),L$2)),'1)qPCR'!$A$2:$A$97,0)),"")</f>
        <v/>
      </c>
      <c r="M20" s="32" t="str">
        <f t="array" ref="M20">IFERROR(INDEX('1)qPCR'!$E$2:$E$97,MATCH(INDEX(HIDDEN!$C$1:$C$96,SMALL(IF(HIDDEN!$B$1:$B$96=$A20&amp;";"&amp;M$1,ROW(HIDDEN!$B$1:$B$96)-ROW(INDEX(HIDDEN!$B$1:$B$96,1,1))+1),M$2)),'1)qPCR'!$A$2:$A$97,0)),"")</f>
        <v/>
      </c>
      <c r="N20" s="32" t="str">
        <f t="array" ref="N20">IFERROR(INDEX('1)qPCR'!$E$2:$E$97,MATCH(INDEX(HIDDEN!$C$1:$C$96,SMALL(IF(HIDDEN!$B$1:$B$96=$A20&amp;";"&amp;N$1,ROW(HIDDEN!$B$1:$B$96)-ROW(INDEX(HIDDEN!$B$1:$B$96,1,1))+1),N$2)),'1)qPCR'!$A$2:$A$97,0)),"")</f>
        <v/>
      </c>
      <c r="O20" s="32" t="str">
        <f t="array" ref="O20">IFERROR(INDEX('1)qPCR'!$E$2:$E$97,MATCH(INDEX(HIDDEN!$C$1:$C$96,SMALL(IF(HIDDEN!$B$1:$B$96=$A20&amp;";"&amp;O$1,ROW(HIDDEN!$B$1:$B$96)-ROW(INDEX(HIDDEN!$B$1:$B$96,1,1))+1),O$2)),'1)qPCR'!$A$2:$A$97,0)),"")</f>
        <v/>
      </c>
      <c r="P20" s="7" t="str">
        <f t="shared" si="1"/>
        <v/>
      </c>
      <c r="Q20" s="18" t="str">
        <f t="shared" si="3"/>
        <v/>
      </c>
      <c r="R20" s="7" t="str">
        <f t="shared" si="2"/>
        <v/>
      </c>
      <c r="S20" s="18" t="str">
        <f t="shared" si="4"/>
        <v/>
      </c>
      <c r="T20" s="10" t="str">
        <f t="shared" si="21"/>
        <v/>
      </c>
      <c r="U20" s="10" t="str">
        <f t="shared" si="22"/>
        <v/>
      </c>
      <c r="V20" s="17" t="str">
        <f t="shared" si="23"/>
        <v/>
      </c>
      <c r="W20" s="17" t="str">
        <f t="shared" si="24"/>
        <v/>
      </c>
      <c r="X20" s="17" t="str">
        <f t="shared" si="37"/>
        <v/>
      </c>
      <c r="Y20" s="17" t="str">
        <f t="shared" si="38"/>
        <v/>
      </c>
      <c r="Z20" s="17" t="str">
        <f t="shared" si="6"/>
        <v/>
      </c>
      <c r="AA20" s="17" t="str">
        <f t="shared" si="7"/>
        <v/>
      </c>
      <c r="AB20" s="17" t="str">
        <f t="shared" si="39"/>
        <v/>
      </c>
      <c r="AC20" s="17" t="str">
        <f t="shared" si="40"/>
        <v/>
      </c>
      <c r="AD20" s="17" t="str">
        <f t="shared" si="10"/>
        <v/>
      </c>
      <c r="AE20" s="17" t="str">
        <f t="shared" si="11"/>
        <v/>
      </c>
      <c r="AF20" s="17" t="str">
        <f t="shared" si="12"/>
        <v/>
      </c>
      <c r="AG20" s="17">
        <f t="shared" si="26"/>
        <v>0</v>
      </c>
      <c r="AH20" s="17">
        <f t="shared" si="13"/>
        <v>0</v>
      </c>
      <c r="AI20" s="17">
        <f t="shared" si="27"/>
        <v>0</v>
      </c>
      <c r="AJ20" s="17" t="str">
        <f>IF(AP20="","",IF(AP20&lt;=RANGES!$A$8,1,IF(AP20&lt;=RANGES!$A$9,2,IF(AP20&lt;=RANGES!$A$10,3,IF(AP20&lt;=RANGES!$A$11,4,IF(AP20&lt;=RANGES!$A$12,5,IF(AP20&lt;=RANGES!$A$13,6,IF(AP20&lt;=RANGES!$A$14,7,8))))))))</f>
        <v/>
      </c>
      <c r="AK20" s="17" t="str">
        <f ca="1">IFERROR(INDEX(RANGES!$C$7:$H$7,1,IF(AO20&lt;=INDIRECT("RANGES!C"&amp;7+AJ20),1,IF(AO20&lt;=INDIRECT("RANGES!D"&amp;7+AJ20),2,IF(AO20&lt;=INDIRECT("RANGES!E"&amp;7+AJ20),3,IF(AO20&lt;=INDIRECT("RANGES!F"&amp;7+AJ20),4,IF(AO20&lt;=INDIRECT("RANGES!G"&amp;7+AJ20),5,6)))))),"")</f>
        <v/>
      </c>
      <c r="AL20" s="17">
        <f t="shared" si="14"/>
        <v>0</v>
      </c>
      <c r="AM20" s="17" t="str">
        <f t="shared" si="15"/>
        <v/>
      </c>
      <c r="AN20" s="17" t="str">
        <f t="shared" si="28"/>
        <v/>
      </c>
      <c r="AO20" s="17" t="str">
        <f t="shared" si="29"/>
        <v/>
      </c>
      <c r="AP20" s="17" t="str">
        <f t="shared" si="16"/>
        <v/>
      </c>
      <c r="AQ20" s="17" t="str">
        <f t="shared" si="30"/>
        <v/>
      </c>
      <c r="AR20" s="17" t="str">
        <f t="shared" si="31"/>
        <v/>
      </c>
      <c r="AS20" s="17" t="str">
        <f t="shared" si="32"/>
        <v/>
      </c>
      <c r="AT20" s="7" t="str">
        <f t="shared" si="17"/>
        <v/>
      </c>
      <c r="AU20" s="10" t="str">
        <f t="shared" si="33"/>
        <v/>
      </c>
      <c r="AV20" s="7" t="str">
        <f t="shared" si="18"/>
        <v/>
      </c>
      <c r="AW20" s="21" t="str">
        <f t="shared" si="34"/>
        <v/>
      </c>
      <c r="AX20" s="21" t="str">
        <f t="shared" si="19"/>
        <v/>
      </c>
      <c r="AY20" s="7" t="str">
        <f t="shared" si="35"/>
        <v/>
      </c>
      <c r="AZ20" s="7" t="str">
        <f t="shared" si="36"/>
        <v/>
      </c>
    </row>
    <row r="21" spans="1:52" ht="13.2">
      <c r="A21" s="7" t="str">
        <f>HIDDEN!H20</f>
        <v/>
      </c>
      <c r="B21" s="7" t="str">
        <f>IFERROR(MATCH(A21,'3)PACIENTES'!$A$2:$A$97,0),"")</f>
        <v/>
      </c>
      <c r="C21" s="24" t="str">
        <f>IFERROR(INDEX('3)PACIENTES'!D$2:D$97,SAMPLES!$B21),"")</f>
        <v/>
      </c>
      <c r="D21" s="24" t="str">
        <f>IFERROR(INDEX('3)PACIENTES'!B$2:B$97,SAMPLES!$B21),"")</f>
        <v/>
      </c>
      <c r="E21" s="24" t="str">
        <f>IFERROR(INDEX('3)PACIENTES'!$C$2:$C113,SAMPLES!$B21),"")</f>
        <v/>
      </c>
      <c r="F21" s="22">
        <f>'3)PACIENTES'!$F$2</f>
        <v>44039</v>
      </c>
      <c r="G21" s="13" t="str">
        <f>IFERROR(INDEX('3)PACIENTES'!E$2:E$97,SAMPLES!$B21),"")</f>
        <v/>
      </c>
      <c r="H21" s="17" t="str">
        <f t="shared" si="0"/>
        <v/>
      </c>
      <c r="I21" s="17" t="str">
        <f t="shared" si="20"/>
        <v/>
      </c>
      <c r="J21" s="32" t="str">
        <f t="array" ref="J21">IFERROR(INDEX('1)qPCR'!$E$2:$E$97,MATCH(INDEX(HIDDEN!$C$1:$C$96,SMALL(IF(HIDDEN!$B$1:$B$96=$A21&amp;";"&amp;J$1,ROW(HIDDEN!$B$1:$B$96)-ROW(INDEX(HIDDEN!$B$1:$B$96,1,1))+1),J$2)),'1)qPCR'!$A$2:$A$97,0)),"")</f>
        <v/>
      </c>
      <c r="K21" s="32" t="str">
        <f t="array" ref="K21">IFERROR(INDEX('1)qPCR'!$E$2:$E$97,MATCH(INDEX(HIDDEN!$C$1:$C$96,SMALL(IF(HIDDEN!$B$1:$B$96=$A21&amp;";"&amp;K$1,ROW(HIDDEN!$B$1:$B$96)-ROW(INDEX(HIDDEN!$B$1:$B$96,1,1))+1),K$2)),'1)qPCR'!$A$2:$A$97,0)),"")</f>
        <v/>
      </c>
      <c r="L21" s="32" t="str">
        <f t="array" ref="L21">IFERROR(INDEX('1)qPCR'!$E$2:$E$97,MATCH(INDEX(HIDDEN!$C$1:$C$96,SMALL(IF(HIDDEN!$B$1:$B$96=$A21&amp;";"&amp;L$1,ROW(HIDDEN!$B$1:$B$96)-ROW(INDEX(HIDDEN!$B$1:$B$96,1,1))+1),L$2)),'1)qPCR'!$A$2:$A$97,0)),"")</f>
        <v/>
      </c>
      <c r="M21" s="32" t="str">
        <f t="array" ref="M21">IFERROR(INDEX('1)qPCR'!$E$2:$E$97,MATCH(INDEX(HIDDEN!$C$1:$C$96,SMALL(IF(HIDDEN!$B$1:$B$96=$A21&amp;";"&amp;M$1,ROW(HIDDEN!$B$1:$B$96)-ROW(INDEX(HIDDEN!$B$1:$B$96,1,1))+1),M$2)),'1)qPCR'!$A$2:$A$97,0)),"")</f>
        <v/>
      </c>
      <c r="N21" s="32" t="str">
        <f t="array" ref="N21">IFERROR(INDEX('1)qPCR'!$E$2:$E$97,MATCH(INDEX(HIDDEN!$C$1:$C$96,SMALL(IF(HIDDEN!$B$1:$B$96=$A21&amp;";"&amp;N$1,ROW(HIDDEN!$B$1:$B$96)-ROW(INDEX(HIDDEN!$B$1:$B$96,1,1))+1),N$2)),'1)qPCR'!$A$2:$A$97,0)),"")</f>
        <v/>
      </c>
      <c r="O21" s="32" t="str">
        <f t="array" ref="O21">IFERROR(INDEX('1)qPCR'!$E$2:$E$97,MATCH(INDEX(HIDDEN!$C$1:$C$96,SMALL(IF(HIDDEN!$B$1:$B$96=$A21&amp;";"&amp;O$1,ROW(HIDDEN!$B$1:$B$96)-ROW(INDEX(HIDDEN!$B$1:$B$96,1,1))+1),O$2)),'1)qPCR'!$A$2:$A$97,0)),"")</f>
        <v/>
      </c>
      <c r="P21" s="7" t="str">
        <f t="shared" si="1"/>
        <v/>
      </c>
      <c r="Q21" s="18" t="str">
        <f t="shared" si="3"/>
        <v/>
      </c>
      <c r="R21" s="7" t="str">
        <f t="shared" si="2"/>
        <v/>
      </c>
      <c r="S21" s="18" t="str">
        <f t="shared" si="4"/>
        <v/>
      </c>
      <c r="T21" s="10" t="str">
        <f t="shared" si="21"/>
        <v/>
      </c>
      <c r="U21" s="10" t="str">
        <f t="shared" si="22"/>
        <v/>
      </c>
      <c r="V21" s="17" t="str">
        <f t="shared" si="23"/>
        <v/>
      </c>
      <c r="W21" s="17" t="str">
        <f t="shared" si="24"/>
        <v/>
      </c>
      <c r="X21" s="17" t="str">
        <f t="shared" si="37"/>
        <v/>
      </c>
      <c r="Y21" s="17" t="str">
        <f t="shared" si="38"/>
        <v/>
      </c>
      <c r="Z21" s="17" t="str">
        <f t="shared" si="6"/>
        <v/>
      </c>
      <c r="AA21" s="17" t="str">
        <f t="shared" si="7"/>
        <v/>
      </c>
      <c r="AB21" s="17" t="str">
        <f t="shared" si="39"/>
        <v/>
      </c>
      <c r="AC21" s="17" t="str">
        <f t="shared" si="40"/>
        <v/>
      </c>
      <c r="AD21" s="17" t="str">
        <f t="shared" si="10"/>
        <v/>
      </c>
      <c r="AE21" s="17" t="str">
        <f t="shared" si="11"/>
        <v/>
      </c>
      <c r="AF21" s="17" t="str">
        <f t="shared" si="12"/>
        <v/>
      </c>
      <c r="AG21" s="17">
        <f t="shared" si="26"/>
        <v>0</v>
      </c>
      <c r="AH21" s="17">
        <f t="shared" si="13"/>
        <v>0</v>
      </c>
      <c r="AI21" s="17">
        <f t="shared" si="27"/>
        <v>0</v>
      </c>
      <c r="AJ21" s="17" t="str">
        <f>IF(AP21="","",IF(AP21&lt;=RANGES!$A$8,1,IF(AP21&lt;=RANGES!$A$9,2,IF(AP21&lt;=RANGES!$A$10,3,IF(AP21&lt;=RANGES!$A$11,4,IF(AP21&lt;=RANGES!$A$12,5,IF(AP21&lt;=RANGES!$A$13,6,IF(AP21&lt;=RANGES!$A$14,7,8))))))))</f>
        <v/>
      </c>
      <c r="AK21" s="17" t="str">
        <f ca="1">IFERROR(INDEX(RANGES!$C$7:$H$7,1,IF(AO21&lt;=INDIRECT("RANGES!C"&amp;7+AJ21),1,IF(AO21&lt;=INDIRECT("RANGES!D"&amp;7+AJ21),2,IF(AO21&lt;=INDIRECT("RANGES!E"&amp;7+AJ21),3,IF(AO21&lt;=INDIRECT("RANGES!F"&amp;7+AJ21),4,IF(AO21&lt;=INDIRECT("RANGES!G"&amp;7+AJ21),5,6)))))),"")</f>
        <v/>
      </c>
      <c r="AL21" s="17">
        <f t="shared" si="14"/>
        <v>0</v>
      </c>
      <c r="AM21" s="17" t="str">
        <f t="shared" si="15"/>
        <v/>
      </c>
      <c r="AN21" s="17" t="str">
        <f t="shared" si="28"/>
        <v/>
      </c>
      <c r="AO21" s="17" t="str">
        <f t="shared" si="29"/>
        <v/>
      </c>
      <c r="AP21" s="17" t="str">
        <f t="shared" si="16"/>
        <v/>
      </c>
      <c r="AQ21" s="17" t="str">
        <f t="shared" si="30"/>
        <v/>
      </c>
      <c r="AR21" s="17" t="str">
        <f t="shared" si="31"/>
        <v/>
      </c>
      <c r="AS21" s="17" t="str">
        <f t="shared" si="32"/>
        <v/>
      </c>
      <c r="AT21" s="7" t="str">
        <f t="shared" si="17"/>
        <v/>
      </c>
      <c r="AU21" s="10" t="str">
        <f t="shared" si="33"/>
        <v/>
      </c>
      <c r="AV21" s="7" t="str">
        <f t="shared" si="18"/>
        <v/>
      </c>
      <c r="AW21" s="21" t="str">
        <f t="shared" si="34"/>
        <v/>
      </c>
      <c r="AX21" s="21" t="str">
        <f t="shared" si="19"/>
        <v/>
      </c>
      <c r="AY21" s="7" t="str">
        <f t="shared" si="35"/>
        <v/>
      </c>
      <c r="AZ21" s="7" t="str">
        <f t="shared" si="36"/>
        <v/>
      </c>
    </row>
    <row r="22" spans="1:52" ht="13.2">
      <c r="A22" s="7" t="str">
        <f>HIDDEN!H21</f>
        <v/>
      </c>
      <c r="B22" s="7" t="str">
        <f>IFERROR(MATCH(A22,'3)PACIENTES'!$A$2:$A$97,0),"")</f>
        <v/>
      </c>
      <c r="C22" s="24" t="str">
        <f>IFERROR(INDEX('3)PACIENTES'!D$2:D$97,SAMPLES!$B22),"")</f>
        <v/>
      </c>
      <c r="D22" s="24" t="str">
        <f>IFERROR(INDEX('3)PACIENTES'!B$2:B$97,SAMPLES!$B22),"")</f>
        <v/>
      </c>
      <c r="E22" s="24" t="str">
        <f>IFERROR(INDEX('3)PACIENTES'!$C$2:$C114,SAMPLES!$B22),"")</f>
        <v/>
      </c>
      <c r="F22" s="22">
        <f>'3)PACIENTES'!$F$2</f>
        <v>44039</v>
      </c>
      <c r="G22" s="13" t="str">
        <f>IFERROR(INDEX('3)PACIENTES'!E$2:E$97,SAMPLES!$B22),"")</f>
        <v/>
      </c>
      <c r="H22" s="17" t="str">
        <f t="shared" si="0"/>
        <v/>
      </c>
      <c r="I22" s="17" t="str">
        <f t="shared" si="20"/>
        <v/>
      </c>
      <c r="J22" s="32" t="str">
        <f t="array" ref="J22">IFERROR(INDEX('1)qPCR'!$E$2:$E$97,MATCH(INDEX(HIDDEN!$C$1:$C$96,SMALL(IF(HIDDEN!$B$1:$B$96=$A22&amp;";"&amp;J$1,ROW(HIDDEN!$B$1:$B$96)-ROW(INDEX(HIDDEN!$B$1:$B$96,1,1))+1),J$2)),'1)qPCR'!$A$2:$A$97,0)),"")</f>
        <v/>
      </c>
      <c r="K22" s="32" t="str">
        <f t="array" ref="K22">IFERROR(INDEX('1)qPCR'!$E$2:$E$97,MATCH(INDEX(HIDDEN!$C$1:$C$96,SMALL(IF(HIDDEN!$B$1:$B$96=$A22&amp;";"&amp;K$1,ROW(HIDDEN!$B$1:$B$96)-ROW(INDEX(HIDDEN!$B$1:$B$96,1,1))+1),K$2)),'1)qPCR'!$A$2:$A$97,0)),"")</f>
        <v/>
      </c>
      <c r="L22" s="32" t="str">
        <f t="array" ref="L22">IFERROR(INDEX('1)qPCR'!$E$2:$E$97,MATCH(INDEX(HIDDEN!$C$1:$C$96,SMALL(IF(HIDDEN!$B$1:$B$96=$A22&amp;";"&amp;L$1,ROW(HIDDEN!$B$1:$B$96)-ROW(INDEX(HIDDEN!$B$1:$B$96,1,1))+1),L$2)),'1)qPCR'!$A$2:$A$97,0)),"")</f>
        <v/>
      </c>
      <c r="M22" s="32" t="str">
        <f t="array" ref="M22">IFERROR(INDEX('1)qPCR'!$E$2:$E$97,MATCH(INDEX(HIDDEN!$C$1:$C$96,SMALL(IF(HIDDEN!$B$1:$B$96=$A22&amp;";"&amp;M$1,ROW(HIDDEN!$B$1:$B$96)-ROW(INDEX(HIDDEN!$B$1:$B$96,1,1))+1),M$2)),'1)qPCR'!$A$2:$A$97,0)),"")</f>
        <v/>
      </c>
      <c r="N22" s="32" t="str">
        <f t="array" ref="N22">IFERROR(INDEX('1)qPCR'!$E$2:$E$97,MATCH(INDEX(HIDDEN!$C$1:$C$96,SMALL(IF(HIDDEN!$B$1:$B$96=$A22&amp;";"&amp;N$1,ROW(HIDDEN!$B$1:$B$96)-ROW(INDEX(HIDDEN!$B$1:$B$96,1,1))+1),N$2)),'1)qPCR'!$A$2:$A$97,0)),"")</f>
        <v/>
      </c>
      <c r="O22" s="32" t="str">
        <f t="array" ref="O22">IFERROR(INDEX('1)qPCR'!$E$2:$E$97,MATCH(INDEX(HIDDEN!$C$1:$C$96,SMALL(IF(HIDDEN!$B$1:$B$96=$A22&amp;";"&amp;O$1,ROW(HIDDEN!$B$1:$B$96)-ROW(INDEX(HIDDEN!$B$1:$B$96,1,1))+1),O$2)),'1)qPCR'!$A$2:$A$97,0)),"")</f>
        <v/>
      </c>
      <c r="P22" s="7" t="str">
        <f t="shared" si="1"/>
        <v/>
      </c>
      <c r="Q22" s="18" t="str">
        <f t="shared" si="3"/>
        <v/>
      </c>
      <c r="R22" s="7" t="str">
        <f t="shared" si="2"/>
        <v/>
      </c>
      <c r="S22" s="18" t="str">
        <f t="shared" si="4"/>
        <v/>
      </c>
      <c r="T22" s="10" t="str">
        <f t="shared" si="21"/>
        <v/>
      </c>
      <c r="U22" s="10" t="str">
        <f t="shared" si="22"/>
        <v/>
      </c>
      <c r="V22" s="17" t="str">
        <f t="shared" si="23"/>
        <v/>
      </c>
      <c r="W22" s="17" t="str">
        <f t="shared" si="24"/>
        <v/>
      </c>
      <c r="X22" s="17" t="str">
        <f t="shared" si="37"/>
        <v/>
      </c>
      <c r="Y22" s="17" t="str">
        <f t="shared" si="38"/>
        <v/>
      </c>
      <c r="Z22" s="17" t="str">
        <f t="shared" si="6"/>
        <v/>
      </c>
      <c r="AA22" s="17" t="str">
        <f t="shared" si="7"/>
        <v/>
      </c>
      <c r="AB22" s="17" t="str">
        <f t="shared" si="39"/>
        <v/>
      </c>
      <c r="AC22" s="17" t="str">
        <f t="shared" si="40"/>
        <v/>
      </c>
      <c r="AD22" s="17" t="str">
        <f t="shared" si="10"/>
        <v/>
      </c>
      <c r="AE22" s="17" t="str">
        <f t="shared" si="11"/>
        <v/>
      </c>
      <c r="AF22" s="17" t="str">
        <f t="shared" si="12"/>
        <v/>
      </c>
      <c r="AG22" s="17">
        <f t="shared" si="26"/>
        <v>0</v>
      </c>
      <c r="AH22" s="17">
        <f t="shared" si="13"/>
        <v>0</v>
      </c>
      <c r="AI22" s="17">
        <f t="shared" si="27"/>
        <v>0</v>
      </c>
      <c r="AJ22" s="17" t="str">
        <f>IF(AP22="","",IF(AP22&lt;=RANGES!$A$8,1,IF(AP22&lt;=RANGES!$A$9,2,IF(AP22&lt;=RANGES!$A$10,3,IF(AP22&lt;=RANGES!$A$11,4,IF(AP22&lt;=RANGES!$A$12,5,IF(AP22&lt;=RANGES!$A$13,6,IF(AP22&lt;=RANGES!$A$14,7,8))))))))</f>
        <v/>
      </c>
      <c r="AK22" s="17" t="str">
        <f ca="1">IFERROR(INDEX(RANGES!$C$7:$H$7,1,IF(AO22&lt;=INDIRECT("RANGES!C"&amp;7+AJ22),1,IF(AO22&lt;=INDIRECT("RANGES!D"&amp;7+AJ22),2,IF(AO22&lt;=INDIRECT("RANGES!E"&amp;7+AJ22),3,IF(AO22&lt;=INDIRECT("RANGES!F"&amp;7+AJ22),4,IF(AO22&lt;=INDIRECT("RANGES!G"&amp;7+AJ22),5,6)))))),"")</f>
        <v/>
      </c>
      <c r="AL22" s="17">
        <f t="shared" si="14"/>
        <v>0</v>
      </c>
      <c r="AM22" s="17" t="str">
        <f t="shared" si="15"/>
        <v/>
      </c>
      <c r="AN22" s="17" t="str">
        <f t="shared" si="28"/>
        <v/>
      </c>
      <c r="AO22" s="17" t="str">
        <f t="shared" si="29"/>
        <v/>
      </c>
      <c r="AP22" s="17" t="str">
        <f t="shared" si="16"/>
        <v/>
      </c>
      <c r="AQ22" s="17" t="str">
        <f t="shared" si="30"/>
        <v/>
      </c>
      <c r="AR22" s="17" t="str">
        <f t="shared" si="31"/>
        <v/>
      </c>
      <c r="AS22" s="17" t="str">
        <f t="shared" si="32"/>
        <v/>
      </c>
      <c r="AT22" s="7" t="str">
        <f t="shared" si="17"/>
        <v/>
      </c>
      <c r="AU22" s="10" t="str">
        <f t="shared" si="33"/>
        <v/>
      </c>
      <c r="AV22" s="7" t="str">
        <f t="shared" si="18"/>
        <v/>
      </c>
      <c r="AW22" s="21" t="str">
        <f t="shared" si="34"/>
        <v/>
      </c>
      <c r="AX22" s="21" t="str">
        <f t="shared" si="19"/>
        <v/>
      </c>
      <c r="AY22" s="7" t="str">
        <f t="shared" si="35"/>
        <v/>
      </c>
      <c r="AZ22" s="7" t="str">
        <f t="shared" si="36"/>
        <v/>
      </c>
    </row>
    <row r="23" spans="1:52" ht="13.2">
      <c r="A23" s="7" t="str">
        <f>HIDDEN!H22</f>
        <v/>
      </c>
      <c r="B23" s="7" t="str">
        <f>IFERROR(MATCH(A23,'3)PACIENTES'!$A$2:$A$97,0),"")</f>
        <v/>
      </c>
      <c r="C23" s="24" t="str">
        <f>IFERROR(INDEX('3)PACIENTES'!D$2:D$97,SAMPLES!$B23),"")</f>
        <v/>
      </c>
      <c r="D23" s="24" t="str">
        <f>IFERROR(INDEX('3)PACIENTES'!B$2:B$97,SAMPLES!$B23),"")</f>
        <v/>
      </c>
      <c r="E23" s="24" t="str">
        <f>IFERROR(INDEX('3)PACIENTES'!$C$2:$C115,SAMPLES!$B23),"")</f>
        <v/>
      </c>
      <c r="F23" s="22">
        <f>'3)PACIENTES'!$F$2</f>
        <v>44039</v>
      </c>
      <c r="G23" s="13" t="str">
        <f>IFERROR(INDEX('3)PACIENTES'!E$2:E$97,SAMPLES!$B23),"")</f>
        <v/>
      </c>
      <c r="H23" s="17" t="str">
        <f t="shared" si="0"/>
        <v/>
      </c>
      <c r="I23" s="17" t="str">
        <f t="shared" si="20"/>
        <v/>
      </c>
      <c r="J23" s="32" t="str">
        <f t="array" ref="J23">IFERROR(INDEX('1)qPCR'!$E$2:$E$97,MATCH(INDEX(HIDDEN!$C$1:$C$96,SMALL(IF(HIDDEN!$B$1:$B$96=$A23&amp;";"&amp;J$1,ROW(HIDDEN!$B$1:$B$96)-ROW(INDEX(HIDDEN!$B$1:$B$96,1,1))+1),J$2)),'1)qPCR'!$A$2:$A$97,0)),"")</f>
        <v/>
      </c>
      <c r="K23" s="32" t="str">
        <f t="array" ref="K23">IFERROR(INDEX('1)qPCR'!$E$2:$E$97,MATCH(INDEX(HIDDEN!$C$1:$C$96,SMALL(IF(HIDDEN!$B$1:$B$96=$A23&amp;";"&amp;K$1,ROW(HIDDEN!$B$1:$B$96)-ROW(INDEX(HIDDEN!$B$1:$B$96,1,1))+1),K$2)),'1)qPCR'!$A$2:$A$97,0)),"")</f>
        <v/>
      </c>
      <c r="L23" s="32" t="str">
        <f t="array" ref="L23">IFERROR(INDEX('1)qPCR'!$E$2:$E$97,MATCH(INDEX(HIDDEN!$C$1:$C$96,SMALL(IF(HIDDEN!$B$1:$B$96=$A23&amp;";"&amp;L$1,ROW(HIDDEN!$B$1:$B$96)-ROW(INDEX(HIDDEN!$B$1:$B$96,1,1))+1),L$2)),'1)qPCR'!$A$2:$A$97,0)),"")</f>
        <v/>
      </c>
      <c r="M23" s="32" t="str">
        <f t="array" ref="M23">IFERROR(INDEX('1)qPCR'!$E$2:$E$97,MATCH(INDEX(HIDDEN!$C$1:$C$96,SMALL(IF(HIDDEN!$B$1:$B$96=$A23&amp;";"&amp;M$1,ROW(HIDDEN!$B$1:$B$96)-ROW(INDEX(HIDDEN!$B$1:$B$96,1,1))+1),M$2)),'1)qPCR'!$A$2:$A$97,0)),"")</f>
        <v/>
      </c>
      <c r="N23" s="32" t="str">
        <f t="array" ref="N23">IFERROR(INDEX('1)qPCR'!$E$2:$E$97,MATCH(INDEX(HIDDEN!$C$1:$C$96,SMALL(IF(HIDDEN!$B$1:$B$96=$A23&amp;";"&amp;N$1,ROW(HIDDEN!$B$1:$B$96)-ROW(INDEX(HIDDEN!$B$1:$B$96,1,1))+1),N$2)),'1)qPCR'!$A$2:$A$97,0)),"")</f>
        <v/>
      </c>
      <c r="O23" s="32" t="str">
        <f t="array" ref="O23">IFERROR(INDEX('1)qPCR'!$E$2:$E$97,MATCH(INDEX(HIDDEN!$C$1:$C$96,SMALL(IF(HIDDEN!$B$1:$B$96=$A23&amp;";"&amp;O$1,ROW(HIDDEN!$B$1:$B$96)-ROW(INDEX(HIDDEN!$B$1:$B$96,1,1))+1),O$2)),'1)qPCR'!$A$2:$A$97,0)),"")</f>
        <v/>
      </c>
      <c r="P23" s="7" t="str">
        <f t="shared" si="1"/>
        <v/>
      </c>
      <c r="Q23" s="18" t="str">
        <f t="shared" si="3"/>
        <v/>
      </c>
      <c r="R23" s="7" t="str">
        <f t="shared" si="2"/>
        <v/>
      </c>
      <c r="S23" s="18" t="str">
        <f t="shared" si="4"/>
        <v/>
      </c>
      <c r="T23" s="10" t="str">
        <f t="shared" si="21"/>
        <v/>
      </c>
      <c r="U23" s="10" t="str">
        <f t="shared" si="22"/>
        <v/>
      </c>
      <c r="V23" s="17" t="str">
        <f t="shared" si="23"/>
        <v/>
      </c>
      <c r="W23" s="17" t="str">
        <f t="shared" si="24"/>
        <v/>
      </c>
      <c r="X23" s="17" t="str">
        <f t="shared" si="37"/>
        <v/>
      </c>
      <c r="Y23" s="17" t="str">
        <f t="shared" si="38"/>
        <v/>
      </c>
      <c r="Z23" s="17" t="str">
        <f t="shared" si="6"/>
        <v/>
      </c>
      <c r="AA23" s="17" t="str">
        <f t="shared" si="7"/>
        <v/>
      </c>
      <c r="AB23" s="17" t="str">
        <f t="shared" si="39"/>
        <v/>
      </c>
      <c r="AC23" s="17" t="str">
        <f t="shared" si="40"/>
        <v/>
      </c>
      <c r="AD23" s="17" t="str">
        <f t="shared" si="10"/>
        <v/>
      </c>
      <c r="AE23" s="17" t="str">
        <f t="shared" si="11"/>
        <v/>
      </c>
      <c r="AF23" s="17" t="str">
        <f t="shared" si="12"/>
        <v/>
      </c>
      <c r="AG23" s="17">
        <f t="shared" si="26"/>
        <v>0</v>
      </c>
      <c r="AH23" s="17">
        <f t="shared" si="13"/>
        <v>0</v>
      </c>
      <c r="AI23" s="17">
        <f t="shared" si="27"/>
        <v>0</v>
      </c>
      <c r="AJ23" s="17" t="str">
        <f>IF(AP23="","",IF(AP23&lt;=RANGES!$A$8,1,IF(AP23&lt;=RANGES!$A$9,2,IF(AP23&lt;=RANGES!$A$10,3,IF(AP23&lt;=RANGES!$A$11,4,IF(AP23&lt;=RANGES!$A$12,5,IF(AP23&lt;=RANGES!$A$13,6,IF(AP23&lt;=RANGES!$A$14,7,8))))))))</f>
        <v/>
      </c>
      <c r="AK23" s="17" t="str">
        <f ca="1">IFERROR(INDEX(RANGES!$C$7:$H$7,1,IF(AO23&lt;=INDIRECT("RANGES!C"&amp;7+AJ23),1,IF(AO23&lt;=INDIRECT("RANGES!D"&amp;7+AJ23),2,IF(AO23&lt;=INDIRECT("RANGES!E"&amp;7+AJ23),3,IF(AO23&lt;=INDIRECT("RANGES!F"&amp;7+AJ23),4,IF(AO23&lt;=INDIRECT("RANGES!G"&amp;7+AJ23),5,6)))))),"")</f>
        <v/>
      </c>
      <c r="AL23" s="17">
        <f t="shared" si="14"/>
        <v>0</v>
      </c>
      <c r="AM23" s="17" t="str">
        <f t="shared" si="15"/>
        <v/>
      </c>
      <c r="AN23" s="17" t="str">
        <f t="shared" si="28"/>
        <v/>
      </c>
      <c r="AO23" s="17" t="str">
        <f t="shared" si="29"/>
        <v/>
      </c>
      <c r="AP23" s="17" t="str">
        <f t="shared" si="16"/>
        <v/>
      </c>
      <c r="AQ23" s="17" t="str">
        <f t="shared" si="30"/>
        <v/>
      </c>
      <c r="AR23" s="17" t="str">
        <f t="shared" si="31"/>
        <v/>
      </c>
      <c r="AS23" s="17" t="str">
        <f t="shared" si="32"/>
        <v/>
      </c>
      <c r="AT23" s="7" t="str">
        <f t="shared" si="17"/>
        <v/>
      </c>
      <c r="AU23" s="10" t="str">
        <f t="shared" si="33"/>
        <v/>
      </c>
      <c r="AV23" s="7" t="str">
        <f t="shared" si="18"/>
        <v/>
      </c>
      <c r="AW23" s="21" t="str">
        <f t="shared" si="34"/>
        <v/>
      </c>
      <c r="AX23" s="21" t="str">
        <f t="shared" si="19"/>
        <v/>
      </c>
      <c r="AY23" s="7" t="str">
        <f t="shared" si="35"/>
        <v/>
      </c>
      <c r="AZ23" s="7" t="str">
        <f t="shared" si="36"/>
        <v/>
      </c>
    </row>
    <row r="24" spans="1:52" ht="13.2">
      <c r="A24" s="7" t="str">
        <f>HIDDEN!H23</f>
        <v/>
      </c>
      <c r="B24" s="7" t="str">
        <f>IFERROR(MATCH(A24,'3)PACIENTES'!$A$2:$A$97,0),"")</f>
        <v/>
      </c>
      <c r="C24" s="24" t="str">
        <f>IFERROR(INDEX('3)PACIENTES'!D$2:D$97,SAMPLES!$B24),"")</f>
        <v/>
      </c>
      <c r="D24" s="24" t="str">
        <f>IFERROR(INDEX('3)PACIENTES'!B$2:B$97,SAMPLES!$B24),"")</f>
        <v/>
      </c>
      <c r="E24" s="24" t="str">
        <f>IFERROR(INDEX('3)PACIENTES'!$C$2:$C116,SAMPLES!$B24),"")</f>
        <v/>
      </c>
      <c r="F24" s="22">
        <f>'3)PACIENTES'!$F$2</f>
        <v>44039</v>
      </c>
      <c r="G24" s="13" t="str">
        <f>IFERROR(INDEX('3)PACIENTES'!E$2:E$97,SAMPLES!$B24),"")</f>
        <v/>
      </c>
      <c r="H24" s="17" t="str">
        <f t="shared" si="0"/>
        <v/>
      </c>
      <c r="I24" s="17" t="str">
        <f t="shared" si="20"/>
        <v/>
      </c>
      <c r="J24" s="32" t="str">
        <f t="array" ref="J24">IFERROR(INDEX('1)qPCR'!$E$2:$E$97,MATCH(INDEX(HIDDEN!$C$1:$C$96,SMALL(IF(HIDDEN!$B$1:$B$96=$A24&amp;";"&amp;J$1,ROW(HIDDEN!$B$1:$B$96)-ROW(INDEX(HIDDEN!$B$1:$B$96,1,1))+1),J$2)),'1)qPCR'!$A$2:$A$97,0)),"")</f>
        <v/>
      </c>
      <c r="K24" s="32" t="str">
        <f t="array" ref="K24">IFERROR(INDEX('1)qPCR'!$E$2:$E$97,MATCH(INDEX(HIDDEN!$C$1:$C$96,SMALL(IF(HIDDEN!$B$1:$B$96=$A24&amp;";"&amp;K$1,ROW(HIDDEN!$B$1:$B$96)-ROW(INDEX(HIDDEN!$B$1:$B$96,1,1))+1),K$2)),'1)qPCR'!$A$2:$A$97,0)),"")</f>
        <v/>
      </c>
      <c r="L24" s="32" t="str">
        <f t="array" ref="L24">IFERROR(INDEX('1)qPCR'!$E$2:$E$97,MATCH(INDEX(HIDDEN!$C$1:$C$96,SMALL(IF(HIDDEN!$B$1:$B$96=$A24&amp;";"&amp;L$1,ROW(HIDDEN!$B$1:$B$96)-ROW(INDEX(HIDDEN!$B$1:$B$96,1,1))+1),L$2)),'1)qPCR'!$A$2:$A$97,0)),"")</f>
        <v/>
      </c>
      <c r="M24" s="32" t="str">
        <f t="array" ref="M24">IFERROR(INDEX('1)qPCR'!$E$2:$E$97,MATCH(INDEX(HIDDEN!$C$1:$C$96,SMALL(IF(HIDDEN!$B$1:$B$96=$A24&amp;";"&amp;M$1,ROW(HIDDEN!$B$1:$B$96)-ROW(INDEX(HIDDEN!$B$1:$B$96,1,1))+1),M$2)),'1)qPCR'!$A$2:$A$97,0)),"")</f>
        <v/>
      </c>
      <c r="N24" s="32" t="str">
        <f t="array" ref="N24">IFERROR(INDEX('1)qPCR'!$E$2:$E$97,MATCH(INDEX(HIDDEN!$C$1:$C$96,SMALL(IF(HIDDEN!$B$1:$B$96=$A24&amp;";"&amp;N$1,ROW(HIDDEN!$B$1:$B$96)-ROW(INDEX(HIDDEN!$B$1:$B$96,1,1))+1),N$2)),'1)qPCR'!$A$2:$A$97,0)),"")</f>
        <v/>
      </c>
      <c r="O24" s="32" t="str">
        <f t="array" ref="O24">IFERROR(INDEX('1)qPCR'!$E$2:$E$97,MATCH(INDEX(HIDDEN!$C$1:$C$96,SMALL(IF(HIDDEN!$B$1:$B$96=$A24&amp;";"&amp;O$1,ROW(HIDDEN!$B$1:$B$96)-ROW(INDEX(HIDDEN!$B$1:$B$96,1,1))+1),O$2)),'1)qPCR'!$A$2:$A$97,0)),"")</f>
        <v/>
      </c>
      <c r="P24" s="7" t="str">
        <f t="shared" si="1"/>
        <v/>
      </c>
      <c r="Q24" s="18" t="str">
        <f t="shared" si="3"/>
        <v/>
      </c>
      <c r="R24" s="7" t="str">
        <f t="shared" si="2"/>
        <v/>
      </c>
      <c r="S24" s="18" t="str">
        <f t="shared" si="4"/>
        <v/>
      </c>
      <c r="T24" s="10" t="str">
        <f t="shared" si="21"/>
        <v/>
      </c>
      <c r="U24" s="10" t="str">
        <f t="shared" si="22"/>
        <v/>
      </c>
      <c r="V24" s="17" t="str">
        <f t="shared" si="23"/>
        <v/>
      </c>
      <c r="W24" s="17" t="str">
        <f t="shared" si="24"/>
        <v/>
      </c>
      <c r="X24" s="17" t="str">
        <f t="shared" si="37"/>
        <v/>
      </c>
      <c r="Y24" s="17" t="str">
        <f t="shared" si="38"/>
        <v/>
      </c>
      <c r="Z24" s="17" t="str">
        <f t="shared" si="6"/>
        <v/>
      </c>
      <c r="AA24" s="17" t="str">
        <f t="shared" si="7"/>
        <v/>
      </c>
      <c r="AB24" s="17" t="str">
        <f t="shared" si="39"/>
        <v/>
      </c>
      <c r="AC24" s="17" t="str">
        <f t="shared" si="40"/>
        <v/>
      </c>
      <c r="AD24" s="17" t="str">
        <f t="shared" si="10"/>
        <v/>
      </c>
      <c r="AE24" s="17" t="str">
        <f t="shared" si="11"/>
        <v/>
      </c>
      <c r="AF24" s="17" t="str">
        <f t="shared" si="12"/>
        <v/>
      </c>
      <c r="AG24" s="17">
        <f t="shared" si="26"/>
        <v>0</v>
      </c>
      <c r="AH24" s="17">
        <f t="shared" si="13"/>
        <v>0</v>
      </c>
      <c r="AI24" s="17">
        <f t="shared" si="27"/>
        <v>0</v>
      </c>
      <c r="AJ24" s="17" t="str">
        <f>IF(AP24="","",IF(AP24&lt;=RANGES!$A$8,1,IF(AP24&lt;=RANGES!$A$9,2,IF(AP24&lt;=RANGES!$A$10,3,IF(AP24&lt;=RANGES!$A$11,4,IF(AP24&lt;=RANGES!$A$12,5,IF(AP24&lt;=RANGES!$A$13,6,IF(AP24&lt;=RANGES!$A$14,7,8))))))))</f>
        <v/>
      </c>
      <c r="AK24" s="17" t="str">
        <f ca="1">IFERROR(INDEX(RANGES!$C$7:$H$7,1,IF(AO24&lt;=INDIRECT("RANGES!C"&amp;7+AJ24),1,IF(AO24&lt;=INDIRECT("RANGES!D"&amp;7+AJ24),2,IF(AO24&lt;=INDIRECT("RANGES!E"&amp;7+AJ24),3,IF(AO24&lt;=INDIRECT("RANGES!F"&amp;7+AJ24),4,IF(AO24&lt;=INDIRECT("RANGES!G"&amp;7+AJ24),5,6)))))),"")</f>
        <v/>
      </c>
      <c r="AL24" s="17">
        <f t="shared" si="14"/>
        <v>0</v>
      </c>
      <c r="AM24" s="17" t="str">
        <f t="shared" si="15"/>
        <v/>
      </c>
      <c r="AN24" s="17" t="str">
        <f t="shared" si="28"/>
        <v/>
      </c>
      <c r="AO24" s="17" t="str">
        <f t="shared" si="29"/>
        <v/>
      </c>
      <c r="AP24" s="17" t="str">
        <f t="shared" si="16"/>
        <v/>
      </c>
      <c r="AQ24" s="17" t="str">
        <f t="shared" si="30"/>
        <v/>
      </c>
      <c r="AR24" s="17" t="str">
        <f t="shared" si="31"/>
        <v/>
      </c>
      <c r="AS24" s="17" t="str">
        <f t="shared" si="32"/>
        <v/>
      </c>
      <c r="AT24" s="7" t="str">
        <f t="shared" si="17"/>
        <v/>
      </c>
      <c r="AU24" s="10" t="str">
        <f t="shared" si="33"/>
        <v/>
      </c>
      <c r="AV24" s="7" t="str">
        <f t="shared" si="18"/>
        <v/>
      </c>
      <c r="AW24" s="21" t="str">
        <f t="shared" si="34"/>
        <v/>
      </c>
      <c r="AX24" s="21" t="str">
        <f t="shared" si="19"/>
        <v/>
      </c>
      <c r="AY24" s="7" t="str">
        <f t="shared" si="35"/>
        <v/>
      </c>
      <c r="AZ24" s="7" t="str">
        <f t="shared" si="36"/>
        <v/>
      </c>
    </row>
    <row r="25" spans="1:52" ht="13.2">
      <c r="A25" s="7" t="str">
        <f>HIDDEN!H24</f>
        <v/>
      </c>
      <c r="B25" s="7" t="str">
        <f>IFERROR(MATCH(A25,'3)PACIENTES'!$A$2:$A$97,0),"")</f>
        <v/>
      </c>
      <c r="C25" s="24" t="str">
        <f>IFERROR(INDEX('3)PACIENTES'!D$2:D$97,SAMPLES!$B25),"")</f>
        <v/>
      </c>
      <c r="D25" s="24" t="str">
        <f>IFERROR(INDEX('3)PACIENTES'!B$2:B$97,SAMPLES!$B25),"")</f>
        <v/>
      </c>
      <c r="E25" s="24" t="str">
        <f>IFERROR(INDEX('3)PACIENTES'!$C$2:$C117,SAMPLES!$B25),"")</f>
        <v/>
      </c>
      <c r="F25" s="22">
        <f>'3)PACIENTES'!$F$2</f>
        <v>44039</v>
      </c>
      <c r="G25" s="13" t="str">
        <f>IFERROR(INDEX('3)PACIENTES'!E$2:E$97,SAMPLES!$B25),"")</f>
        <v/>
      </c>
      <c r="H25" s="17" t="str">
        <f t="shared" si="0"/>
        <v/>
      </c>
      <c r="I25" s="17" t="str">
        <f t="shared" si="20"/>
        <v/>
      </c>
      <c r="J25" s="32" t="str">
        <f t="array" ref="J25">IFERROR(INDEX('1)qPCR'!$E$2:$E$97,MATCH(INDEX(HIDDEN!$C$1:$C$96,SMALL(IF(HIDDEN!$B$1:$B$96=$A25&amp;";"&amp;J$1,ROW(HIDDEN!$B$1:$B$96)-ROW(INDEX(HIDDEN!$B$1:$B$96,1,1))+1),J$2)),'1)qPCR'!$A$2:$A$97,0)),"")</f>
        <v/>
      </c>
      <c r="K25" s="32" t="str">
        <f t="array" ref="K25">IFERROR(INDEX('1)qPCR'!$E$2:$E$97,MATCH(INDEX(HIDDEN!$C$1:$C$96,SMALL(IF(HIDDEN!$B$1:$B$96=$A25&amp;";"&amp;K$1,ROW(HIDDEN!$B$1:$B$96)-ROW(INDEX(HIDDEN!$B$1:$B$96,1,1))+1),K$2)),'1)qPCR'!$A$2:$A$97,0)),"")</f>
        <v/>
      </c>
      <c r="L25" s="32" t="str">
        <f t="array" ref="L25">IFERROR(INDEX('1)qPCR'!$E$2:$E$97,MATCH(INDEX(HIDDEN!$C$1:$C$96,SMALL(IF(HIDDEN!$B$1:$B$96=$A25&amp;";"&amp;L$1,ROW(HIDDEN!$B$1:$B$96)-ROW(INDEX(HIDDEN!$B$1:$B$96,1,1))+1),L$2)),'1)qPCR'!$A$2:$A$97,0)),"")</f>
        <v/>
      </c>
      <c r="M25" s="32" t="str">
        <f t="array" ref="M25">IFERROR(INDEX('1)qPCR'!$E$2:$E$97,MATCH(INDEX(HIDDEN!$C$1:$C$96,SMALL(IF(HIDDEN!$B$1:$B$96=$A25&amp;";"&amp;M$1,ROW(HIDDEN!$B$1:$B$96)-ROW(INDEX(HIDDEN!$B$1:$B$96,1,1))+1),M$2)),'1)qPCR'!$A$2:$A$97,0)),"")</f>
        <v/>
      </c>
      <c r="N25" s="32" t="str">
        <f t="array" ref="N25">IFERROR(INDEX('1)qPCR'!$E$2:$E$97,MATCH(INDEX(HIDDEN!$C$1:$C$96,SMALL(IF(HIDDEN!$B$1:$B$96=$A25&amp;";"&amp;N$1,ROW(HIDDEN!$B$1:$B$96)-ROW(INDEX(HIDDEN!$B$1:$B$96,1,1))+1),N$2)),'1)qPCR'!$A$2:$A$97,0)),"")</f>
        <v/>
      </c>
      <c r="O25" s="32" t="str">
        <f t="array" ref="O25">IFERROR(INDEX('1)qPCR'!$E$2:$E$97,MATCH(INDEX(HIDDEN!$C$1:$C$96,SMALL(IF(HIDDEN!$B$1:$B$96=$A25&amp;";"&amp;O$1,ROW(HIDDEN!$B$1:$B$96)-ROW(INDEX(HIDDEN!$B$1:$B$96,1,1))+1),O$2)),'1)qPCR'!$A$2:$A$97,0)),"")</f>
        <v/>
      </c>
      <c r="P25" s="7" t="str">
        <f t="shared" si="1"/>
        <v/>
      </c>
      <c r="Q25" s="18" t="str">
        <f t="shared" si="3"/>
        <v/>
      </c>
      <c r="R25" s="7" t="str">
        <f t="shared" si="2"/>
        <v/>
      </c>
      <c r="S25" s="18" t="str">
        <f t="shared" si="4"/>
        <v/>
      </c>
      <c r="T25" s="10" t="str">
        <f t="shared" si="21"/>
        <v/>
      </c>
      <c r="U25" s="10" t="str">
        <f t="shared" si="22"/>
        <v/>
      </c>
      <c r="V25" s="17" t="str">
        <f t="shared" si="23"/>
        <v/>
      </c>
      <c r="W25" s="17" t="str">
        <f t="shared" si="24"/>
        <v/>
      </c>
      <c r="X25" s="17" t="str">
        <f t="shared" si="37"/>
        <v/>
      </c>
      <c r="Y25" s="17" t="str">
        <f t="shared" si="38"/>
        <v/>
      </c>
      <c r="Z25" s="17" t="str">
        <f t="shared" si="6"/>
        <v/>
      </c>
      <c r="AA25" s="17" t="str">
        <f t="shared" si="7"/>
        <v/>
      </c>
      <c r="AB25" s="17" t="str">
        <f t="shared" si="39"/>
        <v/>
      </c>
      <c r="AC25" s="17" t="str">
        <f t="shared" si="40"/>
        <v/>
      </c>
      <c r="AD25" s="17" t="str">
        <f t="shared" si="10"/>
        <v/>
      </c>
      <c r="AE25" s="17" t="str">
        <f t="shared" si="11"/>
        <v/>
      </c>
      <c r="AF25" s="17" t="str">
        <f t="shared" si="12"/>
        <v/>
      </c>
      <c r="AG25" s="17">
        <f t="shared" si="26"/>
        <v>0</v>
      </c>
      <c r="AH25" s="17">
        <f t="shared" si="13"/>
        <v>0</v>
      </c>
      <c r="AI25" s="17">
        <f t="shared" si="27"/>
        <v>0</v>
      </c>
      <c r="AJ25" s="17" t="str">
        <f>IF(AP25="","",IF(AP25&lt;=RANGES!$A$8,1,IF(AP25&lt;=RANGES!$A$9,2,IF(AP25&lt;=RANGES!$A$10,3,IF(AP25&lt;=RANGES!$A$11,4,IF(AP25&lt;=RANGES!$A$12,5,IF(AP25&lt;=RANGES!$A$13,6,IF(AP25&lt;=RANGES!$A$14,7,8))))))))</f>
        <v/>
      </c>
      <c r="AK25" s="17" t="str">
        <f ca="1">IFERROR(INDEX(RANGES!$C$7:$H$7,1,IF(AO25&lt;=INDIRECT("RANGES!C"&amp;7+AJ25),1,IF(AO25&lt;=INDIRECT("RANGES!D"&amp;7+AJ25),2,IF(AO25&lt;=INDIRECT("RANGES!E"&amp;7+AJ25),3,IF(AO25&lt;=INDIRECT("RANGES!F"&amp;7+AJ25),4,IF(AO25&lt;=INDIRECT("RANGES!G"&amp;7+AJ25),5,6)))))),"")</f>
        <v/>
      </c>
      <c r="AL25" s="17">
        <f t="shared" si="14"/>
        <v>0</v>
      </c>
      <c r="AM25" s="17" t="str">
        <f t="shared" si="15"/>
        <v/>
      </c>
      <c r="AN25" s="17" t="str">
        <f t="shared" si="28"/>
        <v/>
      </c>
      <c r="AO25" s="17" t="str">
        <f t="shared" si="29"/>
        <v/>
      </c>
      <c r="AP25" s="17" t="str">
        <f t="shared" si="16"/>
        <v/>
      </c>
      <c r="AQ25" s="17" t="str">
        <f t="shared" si="30"/>
        <v/>
      </c>
      <c r="AR25" s="17" t="str">
        <f t="shared" si="31"/>
        <v/>
      </c>
      <c r="AS25" s="17" t="str">
        <f t="shared" si="32"/>
        <v/>
      </c>
      <c r="AT25" s="7" t="str">
        <f t="shared" si="17"/>
        <v/>
      </c>
      <c r="AU25" s="10" t="str">
        <f t="shared" si="33"/>
        <v/>
      </c>
      <c r="AV25" s="7" t="str">
        <f t="shared" si="18"/>
        <v/>
      </c>
      <c r="AW25" s="21" t="str">
        <f t="shared" si="34"/>
        <v/>
      </c>
      <c r="AX25" s="21" t="str">
        <f t="shared" si="19"/>
        <v/>
      </c>
      <c r="AY25" s="7" t="str">
        <f t="shared" si="35"/>
        <v/>
      </c>
      <c r="AZ25" s="7" t="str">
        <f t="shared" si="36"/>
        <v/>
      </c>
    </row>
    <row r="26" spans="1:52" ht="13.2">
      <c r="A26" s="7" t="str">
        <f>HIDDEN!H25</f>
        <v/>
      </c>
      <c r="B26" s="7" t="str">
        <f>IFERROR(MATCH(A26,'3)PACIENTES'!$A$2:$A$97,0),"")</f>
        <v/>
      </c>
      <c r="C26" s="24" t="str">
        <f>IFERROR(INDEX('3)PACIENTES'!D$2:D$97,SAMPLES!$B26),"")</f>
        <v/>
      </c>
      <c r="D26" s="24" t="str">
        <f>IFERROR(INDEX('3)PACIENTES'!B$2:B$97,SAMPLES!$B26),"")</f>
        <v/>
      </c>
      <c r="E26" s="24" t="str">
        <f>IFERROR(INDEX('3)PACIENTES'!$C$2:$C118,SAMPLES!$B26),"")</f>
        <v/>
      </c>
      <c r="F26" s="22">
        <f>'3)PACIENTES'!$F$2</f>
        <v>44039</v>
      </c>
      <c r="G26" s="13" t="str">
        <f>IFERROR(INDEX('3)PACIENTES'!E$2:E$97,SAMPLES!$B26),"")</f>
        <v/>
      </c>
      <c r="H26" s="17" t="str">
        <f t="shared" si="0"/>
        <v/>
      </c>
      <c r="I26" s="17" t="str">
        <f t="shared" si="20"/>
        <v/>
      </c>
      <c r="J26" s="32" t="str">
        <f t="array" ref="J26">IFERROR(INDEX('1)qPCR'!$E$2:$E$97,MATCH(INDEX(HIDDEN!$C$1:$C$96,SMALL(IF(HIDDEN!$B$1:$B$96=$A26&amp;";"&amp;J$1,ROW(HIDDEN!$B$1:$B$96)-ROW(INDEX(HIDDEN!$B$1:$B$96,1,1))+1),J$2)),'1)qPCR'!$A$2:$A$97,0)),"")</f>
        <v/>
      </c>
      <c r="K26" s="32" t="str">
        <f t="array" ref="K26">IFERROR(INDEX('1)qPCR'!$E$2:$E$97,MATCH(INDEX(HIDDEN!$C$1:$C$96,SMALL(IF(HIDDEN!$B$1:$B$96=$A26&amp;";"&amp;K$1,ROW(HIDDEN!$B$1:$B$96)-ROW(INDEX(HIDDEN!$B$1:$B$96,1,1))+1),K$2)),'1)qPCR'!$A$2:$A$97,0)),"")</f>
        <v/>
      </c>
      <c r="L26" s="32" t="str">
        <f t="array" ref="L26">IFERROR(INDEX('1)qPCR'!$E$2:$E$97,MATCH(INDEX(HIDDEN!$C$1:$C$96,SMALL(IF(HIDDEN!$B$1:$B$96=$A26&amp;";"&amp;L$1,ROW(HIDDEN!$B$1:$B$96)-ROW(INDEX(HIDDEN!$B$1:$B$96,1,1))+1),L$2)),'1)qPCR'!$A$2:$A$97,0)),"")</f>
        <v/>
      </c>
      <c r="M26" s="32" t="str">
        <f t="array" ref="M26">IFERROR(INDEX('1)qPCR'!$E$2:$E$97,MATCH(INDEX(HIDDEN!$C$1:$C$96,SMALL(IF(HIDDEN!$B$1:$B$96=$A26&amp;";"&amp;M$1,ROW(HIDDEN!$B$1:$B$96)-ROW(INDEX(HIDDEN!$B$1:$B$96,1,1))+1),M$2)),'1)qPCR'!$A$2:$A$97,0)),"")</f>
        <v/>
      </c>
      <c r="N26" s="32" t="str">
        <f t="array" ref="N26">IFERROR(INDEX('1)qPCR'!$E$2:$E$97,MATCH(INDEX(HIDDEN!$C$1:$C$96,SMALL(IF(HIDDEN!$B$1:$B$96=$A26&amp;";"&amp;N$1,ROW(HIDDEN!$B$1:$B$96)-ROW(INDEX(HIDDEN!$B$1:$B$96,1,1))+1),N$2)),'1)qPCR'!$A$2:$A$97,0)),"")</f>
        <v/>
      </c>
      <c r="O26" s="32" t="str">
        <f t="array" ref="O26">IFERROR(INDEX('1)qPCR'!$E$2:$E$97,MATCH(INDEX(HIDDEN!$C$1:$C$96,SMALL(IF(HIDDEN!$B$1:$B$96=$A26&amp;";"&amp;O$1,ROW(HIDDEN!$B$1:$B$96)-ROW(INDEX(HIDDEN!$B$1:$B$96,1,1))+1),O$2)),'1)qPCR'!$A$2:$A$97,0)),"")</f>
        <v/>
      </c>
      <c r="P26" s="7" t="str">
        <f t="shared" si="1"/>
        <v/>
      </c>
      <c r="Q26" s="18" t="str">
        <f t="shared" si="3"/>
        <v/>
      </c>
      <c r="R26" s="7" t="str">
        <f t="shared" si="2"/>
        <v/>
      </c>
      <c r="S26" s="18" t="str">
        <f t="shared" si="4"/>
        <v/>
      </c>
      <c r="T26" s="10" t="str">
        <f t="shared" si="21"/>
        <v/>
      </c>
      <c r="U26" s="10" t="str">
        <f t="shared" si="22"/>
        <v/>
      </c>
      <c r="V26" s="17" t="str">
        <f t="shared" si="23"/>
        <v/>
      </c>
      <c r="W26" s="17" t="str">
        <f t="shared" si="24"/>
        <v/>
      </c>
      <c r="X26" s="17" t="str">
        <f t="shared" si="37"/>
        <v/>
      </c>
      <c r="Y26" s="17" t="str">
        <f t="shared" si="38"/>
        <v/>
      </c>
      <c r="Z26" s="17" t="str">
        <f t="shared" si="6"/>
        <v/>
      </c>
      <c r="AA26" s="17" t="str">
        <f t="shared" si="7"/>
        <v/>
      </c>
      <c r="AB26" s="17" t="str">
        <f t="shared" si="39"/>
        <v/>
      </c>
      <c r="AC26" s="17" t="str">
        <f t="shared" si="40"/>
        <v/>
      </c>
      <c r="AD26" s="17" t="str">
        <f t="shared" si="10"/>
        <v/>
      </c>
      <c r="AE26" s="17" t="str">
        <f t="shared" si="11"/>
        <v/>
      </c>
      <c r="AF26" s="17" t="str">
        <f t="shared" si="12"/>
        <v/>
      </c>
      <c r="AG26" s="17">
        <f t="shared" si="26"/>
        <v>0</v>
      </c>
      <c r="AH26" s="17">
        <f t="shared" si="13"/>
        <v>0</v>
      </c>
      <c r="AI26" s="17">
        <f t="shared" si="27"/>
        <v>0</v>
      </c>
      <c r="AJ26" s="17" t="str">
        <f>IF(AP26="","",IF(AP26&lt;=RANGES!$A$8,1,IF(AP26&lt;=RANGES!$A$9,2,IF(AP26&lt;=RANGES!$A$10,3,IF(AP26&lt;=RANGES!$A$11,4,IF(AP26&lt;=RANGES!$A$12,5,IF(AP26&lt;=RANGES!$A$13,6,IF(AP26&lt;=RANGES!$A$14,7,8))))))))</f>
        <v/>
      </c>
      <c r="AK26" s="17" t="str">
        <f ca="1">IFERROR(INDEX(RANGES!$C$7:$H$7,1,IF(AO26&lt;=INDIRECT("RANGES!C"&amp;7+AJ26),1,IF(AO26&lt;=INDIRECT("RANGES!D"&amp;7+AJ26),2,IF(AO26&lt;=INDIRECT("RANGES!E"&amp;7+AJ26),3,IF(AO26&lt;=INDIRECT("RANGES!F"&amp;7+AJ26),4,IF(AO26&lt;=INDIRECT("RANGES!G"&amp;7+AJ26),5,6)))))),"")</f>
        <v/>
      </c>
      <c r="AL26" s="17">
        <f t="shared" si="14"/>
        <v>0</v>
      </c>
      <c r="AM26" s="17" t="str">
        <f t="shared" si="15"/>
        <v/>
      </c>
      <c r="AN26" s="17" t="str">
        <f t="shared" si="28"/>
        <v/>
      </c>
      <c r="AO26" s="17" t="str">
        <f t="shared" si="29"/>
        <v/>
      </c>
      <c r="AP26" s="17" t="str">
        <f t="shared" si="16"/>
        <v/>
      </c>
      <c r="AQ26" s="17" t="str">
        <f t="shared" si="30"/>
        <v/>
      </c>
      <c r="AR26" s="17" t="str">
        <f t="shared" si="31"/>
        <v/>
      </c>
      <c r="AS26" s="17" t="str">
        <f t="shared" si="32"/>
        <v/>
      </c>
      <c r="AT26" s="7" t="str">
        <f t="shared" si="17"/>
        <v/>
      </c>
      <c r="AU26" s="10" t="str">
        <f t="shared" si="33"/>
        <v/>
      </c>
      <c r="AV26" s="7" t="str">
        <f t="shared" si="18"/>
        <v/>
      </c>
      <c r="AW26" s="21" t="str">
        <f t="shared" si="34"/>
        <v/>
      </c>
      <c r="AX26" s="21" t="str">
        <f t="shared" si="19"/>
        <v/>
      </c>
      <c r="AY26" s="7" t="str">
        <f t="shared" si="35"/>
        <v/>
      </c>
      <c r="AZ26" s="7" t="str">
        <f t="shared" si="36"/>
        <v/>
      </c>
    </row>
    <row r="27" spans="1:52" ht="13.2">
      <c r="A27" s="7" t="str">
        <f>HIDDEN!H26</f>
        <v/>
      </c>
      <c r="B27" s="7" t="str">
        <f>IFERROR(MATCH(A27,'3)PACIENTES'!$A$2:$A$97,0),"")</f>
        <v/>
      </c>
      <c r="C27" s="24" t="str">
        <f>IFERROR(INDEX('3)PACIENTES'!D$2:D$97,SAMPLES!$B27),"")</f>
        <v/>
      </c>
      <c r="D27" s="24" t="str">
        <f>IFERROR(INDEX('3)PACIENTES'!B$2:B$97,SAMPLES!$B27),"")</f>
        <v/>
      </c>
      <c r="E27" s="24" t="str">
        <f>IFERROR(INDEX('3)PACIENTES'!$C$2:$C119,SAMPLES!$B27),"")</f>
        <v/>
      </c>
      <c r="F27" s="22">
        <f>'3)PACIENTES'!$F$2</f>
        <v>44039</v>
      </c>
      <c r="G27" s="13" t="str">
        <f>IFERROR(INDEX('3)PACIENTES'!E$2:E$97,SAMPLES!$B27),"")</f>
        <v/>
      </c>
      <c r="H27" s="17" t="str">
        <f t="shared" si="0"/>
        <v/>
      </c>
      <c r="I27" s="17" t="str">
        <f t="shared" si="20"/>
        <v/>
      </c>
      <c r="J27" s="32" t="str">
        <f t="array" ref="J27">IFERROR(INDEX('1)qPCR'!$E$2:$E$97,MATCH(INDEX(HIDDEN!$C$1:$C$96,SMALL(IF(HIDDEN!$B$1:$B$96=$A27&amp;";"&amp;J$1,ROW(HIDDEN!$B$1:$B$96)-ROW(INDEX(HIDDEN!$B$1:$B$96,1,1))+1),J$2)),'1)qPCR'!$A$2:$A$97,0)),"")</f>
        <v/>
      </c>
      <c r="K27" s="32" t="str">
        <f t="array" ref="K27">IFERROR(INDEX('1)qPCR'!$E$2:$E$97,MATCH(INDEX(HIDDEN!$C$1:$C$96,SMALL(IF(HIDDEN!$B$1:$B$96=$A27&amp;";"&amp;K$1,ROW(HIDDEN!$B$1:$B$96)-ROW(INDEX(HIDDEN!$B$1:$B$96,1,1))+1),K$2)),'1)qPCR'!$A$2:$A$97,0)),"")</f>
        <v/>
      </c>
      <c r="L27" s="32" t="str">
        <f t="array" ref="L27">IFERROR(INDEX('1)qPCR'!$E$2:$E$97,MATCH(INDEX(HIDDEN!$C$1:$C$96,SMALL(IF(HIDDEN!$B$1:$B$96=$A27&amp;";"&amp;L$1,ROW(HIDDEN!$B$1:$B$96)-ROW(INDEX(HIDDEN!$B$1:$B$96,1,1))+1),L$2)),'1)qPCR'!$A$2:$A$97,0)),"")</f>
        <v/>
      </c>
      <c r="M27" s="32" t="str">
        <f t="array" ref="M27">IFERROR(INDEX('1)qPCR'!$E$2:$E$97,MATCH(INDEX(HIDDEN!$C$1:$C$96,SMALL(IF(HIDDEN!$B$1:$B$96=$A27&amp;";"&amp;M$1,ROW(HIDDEN!$B$1:$B$96)-ROW(INDEX(HIDDEN!$B$1:$B$96,1,1))+1),M$2)),'1)qPCR'!$A$2:$A$97,0)),"")</f>
        <v/>
      </c>
      <c r="N27" s="32" t="str">
        <f t="array" ref="N27">IFERROR(INDEX('1)qPCR'!$E$2:$E$97,MATCH(INDEX(HIDDEN!$C$1:$C$96,SMALL(IF(HIDDEN!$B$1:$B$96=$A27&amp;";"&amp;N$1,ROW(HIDDEN!$B$1:$B$96)-ROW(INDEX(HIDDEN!$B$1:$B$96,1,1))+1),N$2)),'1)qPCR'!$A$2:$A$97,0)),"")</f>
        <v/>
      </c>
      <c r="O27" s="32" t="str">
        <f t="array" ref="O27">IFERROR(INDEX('1)qPCR'!$E$2:$E$97,MATCH(INDEX(HIDDEN!$C$1:$C$96,SMALL(IF(HIDDEN!$B$1:$B$96=$A27&amp;";"&amp;O$1,ROW(HIDDEN!$B$1:$B$96)-ROW(INDEX(HIDDEN!$B$1:$B$96,1,1))+1),O$2)),'1)qPCR'!$A$2:$A$97,0)),"")</f>
        <v/>
      </c>
      <c r="P27" s="7" t="str">
        <f t="shared" si="1"/>
        <v/>
      </c>
      <c r="Q27" s="18" t="str">
        <f t="shared" si="3"/>
        <v/>
      </c>
      <c r="R27" s="7" t="str">
        <f t="shared" si="2"/>
        <v/>
      </c>
      <c r="S27" s="18" t="str">
        <f t="shared" si="4"/>
        <v/>
      </c>
      <c r="T27" s="10" t="str">
        <f t="shared" si="21"/>
        <v/>
      </c>
      <c r="U27" s="10" t="str">
        <f t="shared" si="22"/>
        <v/>
      </c>
      <c r="V27" s="17" t="str">
        <f t="shared" si="23"/>
        <v/>
      </c>
      <c r="W27" s="17" t="str">
        <f t="shared" si="24"/>
        <v/>
      </c>
      <c r="X27" s="17" t="str">
        <f t="shared" si="37"/>
        <v/>
      </c>
      <c r="Y27" s="17" t="str">
        <f t="shared" si="38"/>
        <v/>
      </c>
      <c r="Z27" s="17" t="str">
        <f t="shared" si="6"/>
        <v/>
      </c>
      <c r="AA27" s="17" t="str">
        <f t="shared" si="7"/>
        <v/>
      </c>
      <c r="AB27" s="17" t="str">
        <f t="shared" si="39"/>
        <v/>
      </c>
      <c r="AC27" s="17" t="str">
        <f t="shared" si="40"/>
        <v/>
      </c>
      <c r="AD27" s="17" t="str">
        <f t="shared" si="10"/>
        <v/>
      </c>
      <c r="AE27" s="17" t="str">
        <f t="shared" si="11"/>
        <v/>
      </c>
      <c r="AF27" s="17" t="str">
        <f t="shared" si="12"/>
        <v/>
      </c>
      <c r="AG27" s="17">
        <f t="shared" si="26"/>
        <v>0</v>
      </c>
      <c r="AH27" s="17">
        <f t="shared" si="13"/>
        <v>0</v>
      </c>
      <c r="AI27" s="17">
        <f t="shared" si="27"/>
        <v>0</v>
      </c>
      <c r="AJ27" s="17" t="str">
        <f>IF(AP27="","",IF(AP27&lt;=RANGES!$A$8,1,IF(AP27&lt;=RANGES!$A$9,2,IF(AP27&lt;=RANGES!$A$10,3,IF(AP27&lt;=RANGES!$A$11,4,IF(AP27&lt;=RANGES!$A$12,5,IF(AP27&lt;=RANGES!$A$13,6,IF(AP27&lt;=RANGES!$A$14,7,8))))))))</f>
        <v/>
      </c>
      <c r="AK27" s="17" t="str">
        <f ca="1">IFERROR(INDEX(RANGES!$C$7:$H$7,1,IF(AO27&lt;=INDIRECT("RANGES!C"&amp;7+AJ27),1,IF(AO27&lt;=INDIRECT("RANGES!D"&amp;7+AJ27),2,IF(AO27&lt;=INDIRECT("RANGES!E"&amp;7+AJ27),3,IF(AO27&lt;=INDIRECT("RANGES!F"&amp;7+AJ27),4,IF(AO27&lt;=INDIRECT("RANGES!G"&amp;7+AJ27),5,6)))))),"")</f>
        <v/>
      </c>
      <c r="AL27" s="17">
        <f t="shared" si="14"/>
        <v>0</v>
      </c>
      <c r="AM27" s="17" t="str">
        <f t="shared" si="15"/>
        <v/>
      </c>
      <c r="AN27" s="17" t="str">
        <f t="shared" si="28"/>
        <v/>
      </c>
      <c r="AO27" s="17" t="str">
        <f t="shared" si="29"/>
        <v/>
      </c>
      <c r="AP27" s="17" t="str">
        <f t="shared" si="16"/>
        <v/>
      </c>
      <c r="AQ27" s="17" t="str">
        <f t="shared" si="30"/>
        <v/>
      </c>
      <c r="AR27" s="17" t="str">
        <f t="shared" si="31"/>
        <v/>
      </c>
      <c r="AS27" s="17" t="str">
        <f t="shared" si="32"/>
        <v/>
      </c>
      <c r="AT27" s="7" t="str">
        <f t="shared" si="17"/>
        <v/>
      </c>
      <c r="AU27" s="10" t="str">
        <f t="shared" si="33"/>
        <v/>
      </c>
      <c r="AV27" s="7" t="str">
        <f t="shared" si="18"/>
        <v/>
      </c>
      <c r="AW27" s="21" t="str">
        <f t="shared" si="34"/>
        <v/>
      </c>
      <c r="AX27" s="21" t="str">
        <f t="shared" si="19"/>
        <v/>
      </c>
      <c r="AY27" s="7" t="str">
        <f t="shared" si="35"/>
        <v/>
      </c>
      <c r="AZ27" s="7" t="str">
        <f t="shared" si="36"/>
        <v/>
      </c>
    </row>
    <row r="28" spans="1:52" ht="13.2">
      <c r="A28" s="7" t="str">
        <f>HIDDEN!H27</f>
        <v/>
      </c>
      <c r="B28" s="7" t="str">
        <f>IFERROR(MATCH(A28,'3)PACIENTES'!$A$2:$A$97,0),"")</f>
        <v/>
      </c>
      <c r="C28" s="24" t="str">
        <f>IFERROR(INDEX('3)PACIENTES'!D$2:D$97,SAMPLES!$B28),"")</f>
        <v/>
      </c>
      <c r="D28" s="24" t="str">
        <f>IFERROR(INDEX('3)PACIENTES'!B$2:B$97,SAMPLES!$B28),"")</f>
        <v/>
      </c>
      <c r="E28" s="24" t="str">
        <f>IFERROR(INDEX('3)PACIENTES'!$C$2:$C120,SAMPLES!$B28),"")</f>
        <v/>
      </c>
      <c r="F28" s="22">
        <f>'3)PACIENTES'!$F$2</f>
        <v>44039</v>
      </c>
      <c r="G28" s="13" t="str">
        <f>IFERROR(INDEX('3)PACIENTES'!E$2:E$97,SAMPLES!$B28),"")</f>
        <v/>
      </c>
      <c r="H28" s="17" t="str">
        <f t="shared" si="0"/>
        <v/>
      </c>
      <c r="I28" s="17" t="str">
        <f t="shared" si="20"/>
        <v/>
      </c>
      <c r="J28" s="32" t="str">
        <f t="array" ref="J28">IFERROR(INDEX('1)qPCR'!$E$2:$E$97,MATCH(INDEX(HIDDEN!$C$1:$C$96,SMALL(IF(HIDDEN!$B$1:$B$96=$A28&amp;";"&amp;J$1,ROW(HIDDEN!$B$1:$B$96)-ROW(INDEX(HIDDEN!$B$1:$B$96,1,1))+1),J$2)),'1)qPCR'!$A$2:$A$97,0)),"")</f>
        <v/>
      </c>
      <c r="K28" s="32" t="str">
        <f t="array" ref="K28">IFERROR(INDEX('1)qPCR'!$E$2:$E$97,MATCH(INDEX(HIDDEN!$C$1:$C$96,SMALL(IF(HIDDEN!$B$1:$B$96=$A28&amp;";"&amp;K$1,ROW(HIDDEN!$B$1:$B$96)-ROW(INDEX(HIDDEN!$B$1:$B$96,1,1))+1),K$2)),'1)qPCR'!$A$2:$A$97,0)),"")</f>
        <v/>
      </c>
      <c r="L28" s="32" t="str">
        <f t="array" ref="L28">IFERROR(INDEX('1)qPCR'!$E$2:$E$97,MATCH(INDEX(HIDDEN!$C$1:$C$96,SMALL(IF(HIDDEN!$B$1:$B$96=$A28&amp;";"&amp;L$1,ROW(HIDDEN!$B$1:$B$96)-ROW(INDEX(HIDDEN!$B$1:$B$96,1,1))+1),L$2)),'1)qPCR'!$A$2:$A$97,0)),"")</f>
        <v/>
      </c>
      <c r="M28" s="32" t="str">
        <f t="array" ref="M28">IFERROR(INDEX('1)qPCR'!$E$2:$E$97,MATCH(INDEX(HIDDEN!$C$1:$C$96,SMALL(IF(HIDDEN!$B$1:$B$96=$A28&amp;";"&amp;M$1,ROW(HIDDEN!$B$1:$B$96)-ROW(INDEX(HIDDEN!$B$1:$B$96,1,1))+1),M$2)),'1)qPCR'!$A$2:$A$97,0)),"")</f>
        <v/>
      </c>
      <c r="N28" s="32" t="str">
        <f t="array" ref="N28">IFERROR(INDEX('1)qPCR'!$E$2:$E$97,MATCH(INDEX(HIDDEN!$C$1:$C$96,SMALL(IF(HIDDEN!$B$1:$B$96=$A28&amp;";"&amp;N$1,ROW(HIDDEN!$B$1:$B$96)-ROW(INDEX(HIDDEN!$B$1:$B$96,1,1))+1),N$2)),'1)qPCR'!$A$2:$A$97,0)),"")</f>
        <v/>
      </c>
      <c r="O28" s="32" t="str">
        <f t="array" ref="O28">IFERROR(INDEX('1)qPCR'!$E$2:$E$97,MATCH(INDEX(HIDDEN!$C$1:$C$96,SMALL(IF(HIDDEN!$B$1:$B$96=$A28&amp;";"&amp;O$1,ROW(HIDDEN!$B$1:$B$96)-ROW(INDEX(HIDDEN!$B$1:$B$96,1,1))+1),O$2)),'1)qPCR'!$A$2:$A$97,0)),"")</f>
        <v/>
      </c>
      <c r="P28" s="7" t="str">
        <f t="shared" si="1"/>
        <v/>
      </c>
      <c r="Q28" s="18" t="str">
        <f t="shared" si="3"/>
        <v/>
      </c>
      <c r="R28" s="7" t="str">
        <f t="shared" si="2"/>
        <v/>
      </c>
      <c r="S28" s="18" t="str">
        <f t="shared" si="4"/>
        <v/>
      </c>
      <c r="T28" s="10" t="str">
        <f t="shared" si="21"/>
        <v/>
      </c>
      <c r="U28" s="10" t="str">
        <f t="shared" si="22"/>
        <v/>
      </c>
      <c r="V28" s="17" t="str">
        <f t="shared" si="23"/>
        <v/>
      </c>
      <c r="W28" s="17" t="str">
        <f t="shared" si="24"/>
        <v/>
      </c>
      <c r="X28" s="17" t="str">
        <f t="shared" si="37"/>
        <v/>
      </c>
      <c r="Y28" s="17" t="str">
        <f t="shared" si="38"/>
        <v/>
      </c>
      <c r="Z28" s="17" t="str">
        <f t="shared" si="6"/>
        <v/>
      </c>
      <c r="AA28" s="17" t="str">
        <f t="shared" si="7"/>
        <v/>
      </c>
      <c r="AB28" s="17" t="str">
        <f t="shared" si="39"/>
        <v/>
      </c>
      <c r="AC28" s="17" t="str">
        <f t="shared" si="40"/>
        <v/>
      </c>
      <c r="AD28" s="17" t="str">
        <f t="shared" si="10"/>
        <v/>
      </c>
      <c r="AE28" s="17" t="str">
        <f t="shared" si="11"/>
        <v/>
      </c>
      <c r="AF28" s="17" t="str">
        <f t="shared" si="12"/>
        <v/>
      </c>
      <c r="AG28" s="17">
        <f t="shared" si="26"/>
        <v>0</v>
      </c>
      <c r="AH28" s="17">
        <f t="shared" si="13"/>
        <v>0</v>
      </c>
      <c r="AI28" s="17">
        <f t="shared" si="27"/>
        <v>0</v>
      </c>
      <c r="AJ28" s="17" t="str">
        <f>IF(AP28="","",IF(AP28&lt;=RANGES!$A$8,1,IF(AP28&lt;=RANGES!$A$9,2,IF(AP28&lt;=RANGES!$A$10,3,IF(AP28&lt;=RANGES!$A$11,4,IF(AP28&lt;=RANGES!$A$12,5,IF(AP28&lt;=RANGES!$A$13,6,IF(AP28&lt;=RANGES!$A$14,7,8))))))))</f>
        <v/>
      </c>
      <c r="AK28" s="17" t="str">
        <f ca="1">IFERROR(INDEX(RANGES!$C$7:$H$7,1,IF(AO28&lt;=INDIRECT("RANGES!C"&amp;7+AJ28),1,IF(AO28&lt;=INDIRECT("RANGES!D"&amp;7+AJ28),2,IF(AO28&lt;=INDIRECT("RANGES!E"&amp;7+AJ28),3,IF(AO28&lt;=INDIRECT("RANGES!F"&amp;7+AJ28),4,IF(AO28&lt;=INDIRECT("RANGES!G"&amp;7+AJ28),5,6)))))),"")</f>
        <v/>
      </c>
      <c r="AL28" s="17">
        <f t="shared" si="14"/>
        <v>0</v>
      </c>
      <c r="AM28" s="17" t="str">
        <f t="shared" si="15"/>
        <v/>
      </c>
      <c r="AN28" s="17" t="str">
        <f t="shared" si="28"/>
        <v/>
      </c>
      <c r="AO28" s="17" t="str">
        <f t="shared" si="29"/>
        <v/>
      </c>
      <c r="AP28" s="17" t="str">
        <f t="shared" si="16"/>
        <v/>
      </c>
      <c r="AQ28" s="17" t="str">
        <f t="shared" si="30"/>
        <v/>
      </c>
      <c r="AR28" s="17" t="str">
        <f t="shared" si="31"/>
        <v/>
      </c>
      <c r="AS28" s="17" t="str">
        <f t="shared" si="32"/>
        <v/>
      </c>
      <c r="AT28" s="7" t="str">
        <f t="shared" si="17"/>
        <v/>
      </c>
      <c r="AU28" s="10" t="str">
        <f t="shared" si="33"/>
        <v/>
      </c>
      <c r="AV28" s="7" t="str">
        <f t="shared" si="18"/>
        <v/>
      </c>
      <c r="AW28" s="21" t="str">
        <f t="shared" si="34"/>
        <v/>
      </c>
      <c r="AX28" s="21" t="str">
        <f t="shared" si="19"/>
        <v/>
      </c>
      <c r="AY28" s="7" t="str">
        <f t="shared" si="35"/>
        <v/>
      </c>
      <c r="AZ28" s="7" t="str">
        <f t="shared" si="36"/>
        <v/>
      </c>
    </row>
    <row r="29" spans="1:52" ht="13.2">
      <c r="A29" s="7" t="str">
        <f>HIDDEN!H28</f>
        <v/>
      </c>
      <c r="B29" s="7" t="str">
        <f>IFERROR(MATCH(A29,'3)PACIENTES'!$A$2:$A$97,0),"")</f>
        <v/>
      </c>
      <c r="C29" s="24" t="str">
        <f>IFERROR(INDEX('3)PACIENTES'!D$2:D$97,SAMPLES!$B29),"")</f>
        <v/>
      </c>
      <c r="D29" s="24" t="str">
        <f>IFERROR(INDEX('3)PACIENTES'!B$2:B$97,SAMPLES!$B29),"")</f>
        <v/>
      </c>
      <c r="E29" s="24" t="str">
        <f>IFERROR(INDEX('3)PACIENTES'!$C$2:$C121,SAMPLES!$B29),"")</f>
        <v/>
      </c>
      <c r="F29" s="22">
        <f>'3)PACIENTES'!$F$2</f>
        <v>44039</v>
      </c>
      <c r="G29" s="13" t="str">
        <f>IFERROR(INDEX('3)PACIENTES'!E$2:E$97,SAMPLES!$B29),"")</f>
        <v/>
      </c>
      <c r="H29" s="17" t="str">
        <f t="shared" si="0"/>
        <v/>
      </c>
      <c r="I29" s="17" t="str">
        <f t="shared" si="20"/>
        <v/>
      </c>
      <c r="J29" s="32" t="str">
        <f t="array" ref="J29">IFERROR(INDEX('1)qPCR'!$E$2:$E$97,MATCH(INDEX(HIDDEN!$C$1:$C$96,SMALL(IF(HIDDEN!$B$1:$B$96=$A29&amp;";"&amp;J$1,ROW(HIDDEN!$B$1:$B$96)-ROW(INDEX(HIDDEN!$B$1:$B$96,1,1))+1),J$2)),'1)qPCR'!$A$2:$A$97,0)),"")</f>
        <v/>
      </c>
      <c r="K29" s="32" t="str">
        <f t="array" ref="K29">IFERROR(INDEX('1)qPCR'!$E$2:$E$97,MATCH(INDEX(HIDDEN!$C$1:$C$96,SMALL(IF(HIDDEN!$B$1:$B$96=$A29&amp;";"&amp;K$1,ROW(HIDDEN!$B$1:$B$96)-ROW(INDEX(HIDDEN!$B$1:$B$96,1,1))+1),K$2)),'1)qPCR'!$A$2:$A$97,0)),"")</f>
        <v/>
      </c>
      <c r="L29" s="32" t="str">
        <f t="array" ref="L29">IFERROR(INDEX('1)qPCR'!$E$2:$E$97,MATCH(INDEX(HIDDEN!$C$1:$C$96,SMALL(IF(HIDDEN!$B$1:$B$96=$A29&amp;";"&amp;L$1,ROW(HIDDEN!$B$1:$B$96)-ROW(INDEX(HIDDEN!$B$1:$B$96,1,1))+1),L$2)),'1)qPCR'!$A$2:$A$97,0)),"")</f>
        <v/>
      </c>
      <c r="M29" s="32" t="str">
        <f t="array" ref="M29">IFERROR(INDEX('1)qPCR'!$E$2:$E$97,MATCH(INDEX(HIDDEN!$C$1:$C$96,SMALL(IF(HIDDEN!$B$1:$B$96=$A29&amp;";"&amp;M$1,ROW(HIDDEN!$B$1:$B$96)-ROW(INDEX(HIDDEN!$B$1:$B$96,1,1))+1),M$2)),'1)qPCR'!$A$2:$A$97,0)),"")</f>
        <v/>
      </c>
      <c r="N29" s="32" t="str">
        <f t="array" ref="N29">IFERROR(INDEX('1)qPCR'!$E$2:$E$97,MATCH(INDEX(HIDDEN!$C$1:$C$96,SMALL(IF(HIDDEN!$B$1:$B$96=$A29&amp;";"&amp;N$1,ROW(HIDDEN!$B$1:$B$96)-ROW(INDEX(HIDDEN!$B$1:$B$96,1,1))+1),N$2)),'1)qPCR'!$A$2:$A$97,0)),"")</f>
        <v/>
      </c>
      <c r="O29" s="32" t="str">
        <f t="array" ref="O29">IFERROR(INDEX('1)qPCR'!$E$2:$E$97,MATCH(INDEX(HIDDEN!$C$1:$C$96,SMALL(IF(HIDDEN!$B$1:$B$96=$A29&amp;";"&amp;O$1,ROW(HIDDEN!$B$1:$B$96)-ROW(INDEX(HIDDEN!$B$1:$B$96,1,1))+1),O$2)),'1)qPCR'!$A$2:$A$97,0)),"")</f>
        <v/>
      </c>
      <c r="P29" s="7" t="str">
        <f t="shared" si="1"/>
        <v/>
      </c>
      <c r="Q29" s="18" t="str">
        <f t="shared" si="3"/>
        <v/>
      </c>
      <c r="R29" s="7" t="str">
        <f t="shared" si="2"/>
        <v/>
      </c>
      <c r="S29" s="18" t="str">
        <f t="shared" si="4"/>
        <v/>
      </c>
      <c r="T29" s="10" t="str">
        <f t="shared" si="21"/>
        <v/>
      </c>
      <c r="U29" s="10" t="str">
        <f t="shared" si="22"/>
        <v/>
      </c>
      <c r="V29" s="17" t="str">
        <f t="shared" si="23"/>
        <v/>
      </c>
      <c r="W29" s="17" t="str">
        <f t="shared" si="24"/>
        <v/>
      </c>
      <c r="X29" s="17" t="str">
        <f t="shared" si="37"/>
        <v/>
      </c>
      <c r="Y29" s="17" t="str">
        <f t="shared" si="38"/>
        <v/>
      </c>
      <c r="Z29" s="17" t="str">
        <f t="shared" si="6"/>
        <v/>
      </c>
      <c r="AA29" s="17" t="str">
        <f t="shared" si="7"/>
        <v/>
      </c>
      <c r="AB29" s="17" t="str">
        <f t="shared" si="39"/>
        <v/>
      </c>
      <c r="AC29" s="17" t="str">
        <f t="shared" si="40"/>
        <v/>
      </c>
      <c r="AD29" s="17" t="str">
        <f t="shared" si="10"/>
        <v/>
      </c>
      <c r="AE29" s="17" t="str">
        <f t="shared" si="11"/>
        <v/>
      </c>
      <c r="AF29" s="17" t="str">
        <f t="shared" si="12"/>
        <v/>
      </c>
      <c r="AG29" s="17">
        <f t="shared" si="26"/>
        <v>0</v>
      </c>
      <c r="AH29" s="17">
        <f t="shared" si="13"/>
        <v>0</v>
      </c>
      <c r="AI29" s="17">
        <f t="shared" si="27"/>
        <v>0</v>
      </c>
      <c r="AJ29" s="17" t="str">
        <f>IF(AP29="","",IF(AP29&lt;=RANGES!$A$8,1,IF(AP29&lt;=RANGES!$A$9,2,IF(AP29&lt;=RANGES!$A$10,3,IF(AP29&lt;=RANGES!$A$11,4,IF(AP29&lt;=RANGES!$A$12,5,IF(AP29&lt;=RANGES!$A$13,6,IF(AP29&lt;=RANGES!$A$14,7,8))))))))</f>
        <v/>
      </c>
      <c r="AK29" s="17" t="str">
        <f ca="1">IFERROR(INDEX(RANGES!$C$7:$H$7,1,IF(AO29&lt;=INDIRECT("RANGES!C"&amp;7+AJ29),1,IF(AO29&lt;=INDIRECT("RANGES!D"&amp;7+AJ29),2,IF(AO29&lt;=INDIRECT("RANGES!E"&amp;7+AJ29),3,IF(AO29&lt;=INDIRECT("RANGES!F"&amp;7+AJ29),4,IF(AO29&lt;=INDIRECT("RANGES!G"&amp;7+AJ29),5,6)))))),"")</f>
        <v/>
      </c>
      <c r="AL29" s="17">
        <f t="shared" si="14"/>
        <v>0</v>
      </c>
      <c r="AM29" s="17" t="str">
        <f t="shared" si="15"/>
        <v/>
      </c>
      <c r="AN29" s="17" t="str">
        <f t="shared" si="28"/>
        <v/>
      </c>
      <c r="AO29" s="17" t="str">
        <f t="shared" si="29"/>
        <v/>
      </c>
      <c r="AP29" s="17" t="str">
        <f t="shared" si="16"/>
        <v/>
      </c>
      <c r="AQ29" s="17" t="str">
        <f t="shared" si="30"/>
        <v/>
      </c>
      <c r="AR29" s="17" t="str">
        <f t="shared" si="31"/>
        <v/>
      </c>
      <c r="AS29" s="17" t="str">
        <f t="shared" si="32"/>
        <v/>
      </c>
      <c r="AT29" s="7" t="str">
        <f t="shared" si="17"/>
        <v/>
      </c>
      <c r="AU29" s="10" t="str">
        <f t="shared" si="33"/>
        <v/>
      </c>
      <c r="AV29" s="7" t="str">
        <f t="shared" si="18"/>
        <v/>
      </c>
      <c r="AW29" s="21" t="str">
        <f t="shared" si="34"/>
        <v/>
      </c>
      <c r="AX29" s="21" t="str">
        <f t="shared" si="19"/>
        <v/>
      </c>
      <c r="AY29" s="7" t="str">
        <f t="shared" si="35"/>
        <v/>
      </c>
      <c r="AZ29" s="7" t="str">
        <f t="shared" si="36"/>
        <v/>
      </c>
    </row>
    <row r="30" spans="1:52" ht="13.2">
      <c r="A30" s="7" t="str">
        <f>HIDDEN!H29</f>
        <v/>
      </c>
      <c r="B30" s="7" t="str">
        <f>IFERROR(MATCH(A30,'3)PACIENTES'!$A$2:$A$97,0),"")</f>
        <v/>
      </c>
      <c r="C30" s="24" t="str">
        <f>IFERROR(INDEX('3)PACIENTES'!D$2:D$97,SAMPLES!$B30),"")</f>
        <v/>
      </c>
      <c r="D30" s="24" t="str">
        <f>IFERROR(INDEX('3)PACIENTES'!B$2:B$97,SAMPLES!$B30),"")</f>
        <v/>
      </c>
      <c r="E30" s="24" t="str">
        <f>IFERROR(INDEX('3)PACIENTES'!$C$2:$C122,SAMPLES!$B30),"")</f>
        <v/>
      </c>
      <c r="F30" s="22">
        <f>'3)PACIENTES'!$F$2</f>
        <v>44039</v>
      </c>
      <c r="G30" s="13" t="str">
        <f>IFERROR(INDEX('3)PACIENTES'!E$2:E$97,SAMPLES!$B30),"")</f>
        <v/>
      </c>
      <c r="H30" s="17" t="str">
        <f t="shared" si="0"/>
        <v/>
      </c>
      <c r="I30" s="17" t="str">
        <f t="shared" si="20"/>
        <v/>
      </c>
      <c r="J30" s="32" t="str">
        <f t="array" ref="J30">IFERROR(INDEX('1)qPCR'!$E$2:$E$97,MATCH(INDEX(HIDDEN!$C$1:$C$96,SMALL(IF(HIDDEN!$B$1:$B$96=$A30&amp;";"&amp;J$1,ROW(HIDDEN!$B$1:$B$96)-ROW(INDEX(HIDDEN!$B$1:$B$96,1,1))+1),J$2)),'1)qPCR'!$A$2:$A$97,0)),"")</f>
        <v/>
      </c>
      <c r="K30" s="32" t="str">
        <f t="array" ref="K30">IFERROR(INDEX('1)qPCR'!$E$2:$E$97,MATCH(INDEX(HIDDEN!$C$1:$C$96,SMALL(IF(HIDDEN!$B$1:$B$96=$A30&amp;";"&amp;K$1,ROW(HIDDEN!$B$1:$B$96)-ROW(INDEX(HIDDEN!$B$1:$B$96,1,1))+1),K$2)),'1)qPCR'!$A$2:$A$97,0)),"")</f>
        <v/>
      </c>
      <c r="L30" s="32" t="str">
        <f t="array" ref="L30">IFERROR(INDEX('1)qPCR'!$E$2:$E$97,MATCH(INDEX(HIDDEN!$C$1:$C$96,SMALL(IF(HIDDEN!$B$1:$B$96=$A30&amp;";"&amp;L$1,ROW(HIDDEN!$B$1:$B$96)-ROW(INDEX(HIDDEN!$B$1:$B$96,1,1))+1),L$2)),'1)qPCR'!$A$2:$A$97,0)),"")</f>
        <v/>
      </c>
      <c r="M30" s="32" t="str">
        <f t="array" ref="M30">IFERROR(INDEX('1)qPCR'!$E$2:$E$97,MATCH(INDEX(HIDDEN!$C$1:$C$96,SMALL(IF(HIDDEN!$B$1:$B$96=$A30&amp;";"&amp;M$1,ROW(HIDDEN!$B$1:$B$96)-ROW(INDEX(HIDDEN!$B$1:$B$96,1,1))+1),M$2)),'1)qPCR'!$A$2:$A$97,0)),"")</f>
        <v/>
      </c>
      <c r="N30" s="32" t="str">
        <f t="array" ref="N30">IFERROR(INDEX('1)qPCR'!$E$2:$E$97,MATCH(INDEX(HIDDEN!$C$1:$C$96,SMALL(IF(HIDDEN!$B$1:$B$96=$A30&amp;";"&amp;N$1,ROW(HIDDEN!$B$1:$B$96)-ROW(INDEX(HIDDEN!$B$1:$B$96,1,1))+1),N$2)),'1)qPCR'!$A$2:$A$97,0)),"")</f>
        <v/>
      </c>
      <c r="O30" s="32" t="str">
        <f t="array" ref="O30">IFERROR(INDEX('1)qPCR'!$E$2:$E$97,MATCH(INDEX(HIDDEN!$C$1:$C$96,SMALL(IF(HIDDEN!$B$1:$B$96=$A30&amp;";"&amp;O$1,ROW(HIDDEN!$B$1:$B$96)-ROW(INDEX(HIDDEN!$B$1:$B$96,1,1))+1),O$2)),'1)qPCR'!$A$2:$A$97,0)),"")</f>
        <v/>
      </c>
      <c r="P30" s="7" t="str">
        <f t="shared" si="1"/>
        <v/>
      </c>
      <c r="Q30" s="18" t="str">
        <f t="shared" si="3"/>
        <v/>
      </c>
      <c r="R30" s="7" t="str">
        <f t="shared" si="2"/>
        <v/>
      </c>
      <c r="S30" s="18" t="str">
        <f t="shared" si="4"/>
        <v/>
      </c>
      <c r="T30" s="10" t="str">
        <f t="shared" si="21"/>
        <v/>
      </c>
      <c r="U30" s="10" t="str">
        <f t="shared" si="22"/>
        <v/>
      </c>
      <c r="V30" s="17" t="str">
        <f t="shared" si="23"/>
        <v/>
      </c>
      <c r="W30" s="17" t="str">
        <f t="shared" si="24"/>
        <v/>
      </c>
      <c r="X30" s="17" t="str">
        <f t="shared" si="37"/>
        <v/>
      </c>
      <c r="Y30" s="17" t="str">
        <f t="shared" si="38"/>
        <v/>
      </c>
      <c r="Z30" s="17" t="str">
        <f t="shared" si="6"/>
        <v/>
      </c>
      <c r="AA30" s="17" t="str">
        <f t="shared" si="7"/>
        <v/>
      </c>
      <c r="AB30" s="17" t="str">
        <f t="shared" si="39"/>
        <v/>
      </c>
      <c r="AC30" s="17" t="str">
        <f t="shared" si="40"/>
        <v/>
      </c>
      <c r="AD30" s="17" t="str">
        <f t="shared" si="10"/>
        <v/>
      </c>
      <c r="AE30" s="17" t="str">
        <f t="shared" si="11"/>
        <v/>
      </c>
      <c r="AF30" s="17" t="str">
        <f t="shared" si="12"/>
        <v/>
      </c>
      <c r="AG30" s="17">
        <f t="shared" si="26"/>
        <v>0</v>
      </c>
      <c r="AH30" s="17">
        <f t="shared" si="13"/>
        <v>0</v>
      </c>
      <c r="AI30" s="17">
        <f t="shared" si="27"/>
        <v>0</v>
      </c>
      <c r="AJ30" s="17" t="str">
        <f>IF(AP30="","",IF(AP30&lt;=RANGES!$A$8,1,IF(AP30&lt;=RANGES!$A$9,2,IF(AP30&lt;=RANGES!$A$10,3,IF(AP30&lt;=RANGES!$A$11,4,IF(AP30&lt;=RANGES!$A$12,5,IF(AP30&lt;=RANGES!$A$13,6,IF(AP30&lt;=RANGES!$A$14,7,8))))))))</f>
        <v/>
      </c>
      <c r="AK30" s="17" t="str">
        <f ca="1">IFERROR(INDEX(RANGES!$C$7:$H$7,1,IF(AO30&lt;=INDIRECT("RANGES!C"&amp;7+AJ30),1,IF(AO30&lt;=INDIRECT("RANGES!D"&amp;7+AJ30),2,IF(AO30&lt;=INDIRECT("RANGES!E"&amp;7+AJ30),3,IF(AO30&lt;=INDIRECT("RANGES!F"&amp;7+AJ30),4,IF(AO30&lt;=INDIRECT("RANGES!G"&amp;7+AJ30),5,6)))))),"")</f>
        <v/>
      </c>
      <c r="AL30" s="17">
        <f t="shared" si="14"/>
        <v>0</v>
      </c>
      <c r="AM30" s="17" t="str">
        <f t="shared" si="15"/>
        <v/>
      </c>
      <c r="AN30" s="17" t="str">
        <f t="shared" si="28"/>
        <v/>
      </c>
      <c r="AO30" s="17" t="str">
        <f t="shared" si="29"/>
        <v/>
      </c>
      <c r="AP30" s="17" t="str">
        <f t="shared" si="16"/>
        <v/>
      </c>
      <c r="AQ30" s="17" t="str">
        <f t="shared" si="30"/>
        <v/>
      </c>
      <c r="AR30" s="17" t="str">
        <f t="shared" si="31"/>
        <v/>
      </c>
      <c r="AS30" s="17" t="str">
        <f t="shared" si="32"/>
        <v/>
      </c>
      <c r="AT30" s="7" t="str">
        <f t="shared" si="17"/>
        <v/>
      </c>
      <c r="AU30" s="10" t="str">
        <f t="shared" si="33"/>
        <v/>
      </c>
      <c r="AV30" s="7" t="str">
        <f t="shared" si="18"/>
        <v/>
      </c>
      <c r="AW30" s="21" t="str">
        <f t="shared" si="34"/>
        <v/>
      </c>
      <c r="AX30" s="21" t="str">
        <f t="shared" si="19"/>
        <v/>
      </c>
      <c r="AY30" s="7" t="str">
        <f t="shared" si="35"/>
        <v/>
      </c>
      <c r="AZ30" s="7" t="str">
        <f t="shared" si="36"/>
        <v/>
      </c>
    </row>
    <row r="31" spans="1:52" ht="13.2">
      <c r="A31" s="7" t="str">
        <f>HIDDEN!H30</f>
        <v/>
      </c>
      <c r="B31" s="7" t="str">
        <f>IFERROR(MATCH(A31,'3)PACIENTES'!$A$2:$A$97,0),"")</f>
        <v/>
      </c>
      <c r="C31" s="24" t="str">
        <f>IFERROR(INDEX('3)PACIENTES'!D$2:D$97,SAMPLES!$B31),"")</f>
        <v/>
      </c>
      <c r="D31" s="24" t="str">
        <f>IFERROR(INDEX('3)PACIENTES'!B$2:B$97,SAMPLES!$B31),"")</f>
        <v/>
      </c>
      <c r="E31" s="24" t="str">
        <f>IFERROR(INDEX('3)PACIENTES'!$C$2:$C123,SAMPLES!$B31),"")</f>
        <v/>
      </c>
      <c r="F31" s="22">
        <f>'3)PACIENTES'!$F$2</f>
        <v>44039</v>
      </c>
      <c r="G31" s="13" t="str">
        <f>IFERROR(INDEX('3)PACIENTES'!E$2:E$97,SAMPLES!$B31),"")</f>
        <v/>
      </c>
      <c r="H31" s="17" t="str">
        <f t="shared" si="0"/>
        <v/>
      </c>
      <c r="I31" s="17" t="str">
        <f t="shared" si="20"/>
        <v/>
      </c>
      <c r="J31" s="32" t="str">
        <f t="array" ref="J31">IFERROR(INDEX('1)qPCR'!$E$2:$E$97,MATCH(INDEX(HIDDEN!$C$1:$C$96,SMALL(IF(HIDDEN!$B$1:$B$96=$A31&amp;";"&amp;J$1,ROW(HIDDEN!$B$1:$B$96)-ROW(INDEX(HIDDEN!$B$1:$B$96,1,1))+1),J$2)),'1)qPCR'!$A$2:$A$97,0)),"")</f>
        <v/>
      </c>
      <c r="K31" s="32" t="str">
        <f t="array" ref="K31">IFERROR(INDEX('1)qPCR'!$E$2:$E$97,MATCH(INDEX(HIDDEN!$C$1:$C$96,SMALL(IF(HIDDEN!$B$1:$B$96=$A31&amp;";"&amp;K$1,ROW(HIDDEN!$B$1:$B$96)-ROW(INDEX(HIDDEN!$B$1:$B$96,1,1))+1),K$2)),'1)qPCR'!$A$2:$A$97,0)),"")</f>
        <v/>
      </c>
      <c r="L31" s="32" t="str">
        <f t="array" ref="L31">IFERROR(INDEX('1)qPCR'!$E$2:$E$97,MATCH(INDEX(HIDDEN!$C$1:$C$96,SMALL(IF(HIDDEN!$B$1:$B$96=$A31&amp;";"&amp;L$1,ROW(HIDDEN!$B$1:$B$96)-ROW(INDEX(HIDDEN!$B$1:$B$96,1,1))+1),L$2)),'1)qPCR'!$A$2:$A$97,0)),"")</f>
        <v/>
      </c>
      <c r="M31" s="32" t="str">
        <f t="array" ref="M31">IFERROR(INDEX('1)qPCR'!$E$2:$E$97,MATCH(INDEX(HIDDEN!$C$1:$C$96,SMALL(IF(HIDDEN!$B$1:$B$96=$A31&amp;";"&amp;M$1,ROW(HIDDEN!$B$1:$B$96)-ROW(INDEX(HIDDEN!$B$1:$B$96,1,1))+1),M$2)),'1)qPCR'!$A$2:$A$97,0)),"")</f>
        <v/>
      </c>
      <c r="N31" s="32" t="str">
        <f t="array" ref="N31">IFERROR(INDEX('1)qPCR'!$E$2:$E$97,MATCH(INDEX(HIDDEN!$C$1:$C$96,SMALL(IF(HIDDEN!$B$1:$B$96=$A31&amp;";"&amp;N$1,ROW(HIDDEN!$B$1:$B$96)-ROW(INDEX(HIDDEN!$B$1:$B$96,1,1))+1),N$2)),'1)qPCR'!$A$2:$A$97,0)),"")</f>
        <v/>
      </c>
      <c r="O31" s="32" t="str">
        <f t="array" ref="O31">IFERROR(INDEX('1)qPCR'!$E$2:$E$97,MATCH(INDEX(HIDDEN!$C$1:$C$96,SMALL(IF(HIDDEN!$B$1:$B$96=$A31&amp;";"&amp;O$1,ROW(HIDDEN!$B$1:$B$96)-ROW(INDEX(HIDDEN!$B$1:$B$96,1,1))+1),O$2)),'1)qPCR'!$A$2:$A$97,0)),"")</f>
        <v/>
      </c>
      <c r="P31" s="7" t="str">
        <f t="shared" si="1"/>
        <v/>
      </c>
      <c r="Q31" s="18" t="str">
        <f t="shared" si="3"/>
        <v/>
      </c>
      <c r="R31" s="7" t="str">
        <f t="shared" si="2"/>
        <v/>
      </c>
      <c r="S31" s="18" t="str">
        <f t="shared" si="4"/>
        <v/>
      </c>
      <c r="T31" s="10" t="str">
        <f t="shared" si="21"/>
        <v/>
      </c>
      <c r="U31" s="10" t="str">
        <f t="shared" si="22"/>
        <v/>
      </c>
      <c r="V31" s="17" t="str">
        <f t="shared" si="23"/>
        <v/>
      </c>
      <c r="W31" s="17" t="str">
        <f t="shared" si="24"/>
        <v/>
      </c>
      <c r="X31" s="17" t="str">
        <f t="shared" si="37"/>
        <v/>
      </c>
      <c r="Y31" s="17" t="str">
        <f t="shared" si="38"/>
        <v/>
      </c>
      <c r="Z31" s="17" t="str">
        <f t="shared" si="6"/>
        <v/>
      </c>
      <c r="AA31" s="17" t="str">
        <f t="shared" si="7"/>
        <v/>
      </c>
      <c r="AB31" s="17" t="str">
        <f t="shared" si="39"/>
        <v/>
      </c>
      <c r="AC31" s="17" t="str">
        <f t="shared" si="40"/>
        <v/>
      </c>
      <c r="AD31" s="17" t="str">
        <f t="shared" si="10"/>
        <v/>
      </c>
      <c r="AE31" s="17" t="str">
        <f t="shared" si="11"/>
        <v/>
      </c>
      <c r="AF31" s="17" t="str">
        <f t="shared" si="12"/>
        <v/>
      </c>
      <c r="AG31" s="17">
        <f t="shared" si="26"/>
        <v>0</v>
      </c>
      <c r="AH31" s="17">
        <f t="shared" si="13"/>
        <v>0</v>
      </c>
      <c r="AI31" s="17">
        <f t="shared" si="27"/>
        <v>0</v>
      </c>
      <c r="AJ31" s="17" t="str">
        <f>IF(AP31="","",IF(AP31&lt;=RANGES!$A$8,1,IF(AP31&lt;=RANGES!$A$9,2,IF(AP31&lt;=RANGES!$A$10,3,IF(AP31&lt;=RANGES!$A$11,4,IF(AP31&lt;=RANGES!$A$12,5,IF(AP31&lt;=RANGES!$A$13,6,IF(AP31&lt;=RANGES!$A$14,7,8))))))))</f>
        <v/>
      </c>
      <c r="AK31" s="17" t="str">
        <f ca="1">IFERROR(INDEX(RANGES!$C$7:$H$7,1,IF(AO31&lt;=INDIRECT("RANGES!C"&amp;7+AJ31),1,IF(AO31&lt;=INDIRECT("RANGES!D"&amp;7+AJ31),2,IF(AO31&lt;=INDIRECT("RANGES!E"&amp;7+AJ31),3,IF(AO31&lt;=INDIRECT("RANGES!F"&amp;7+AJ31),4,IF(AO31&lt;=INDIRECT("RANGES!G"&amp;7+AJ31),5,6)))))),"")</f>
        <v/>
      </c>
      <c r="AL31" s="17">
        <f t="shared" si="14"/>
        <v>0</v>
      </c>
      <c r="AM31" s="17" t="str">
        <f t="shared" si="15"/>
        <v/>
      </c>
      <c r="AN31" s="17" t="str">
        <f t="shared" si="28"/>
        <v/>
      </c>
      <c r="AO31" s="17" t="str">
        <f t="shared" si="29"/>
        <v/>
      </c>
      <c r="AP31" s="17" t="str">
        <f t="shared" si="16"/>
        <v/>
      </c>
      <c r="AQ31" s="17" t="str">
        <f t="shared" si="30"/>
        <v/>
      </c>
      <c r="AR31" s="17" t="str">
        <f t="shared" si="31"/>
        <v/>
      </c>
      <c r="AS31" s="17" t="str">
        <f t="shared" si="32"/>
        <v/>
      </c>
      <c r="AT31" s="7" t="str">
        <f t="shared" si="17"/>
        <v/>
      </c>
      <c r="AU31" s="10" t="str">
        <f t="shared" si="33"/>
        <v/>
      </c>
      <c r="AV31" s="7" t="str">
        <f t="shared" si="18"/>
        <v/>
      </c>
      <c r="AW31" s="21" t="str">
        <f t="shared" si="34"/>
        <v/>
      </c>
      <c r="AX31" s="21" t="str">
        <f t="shared" si="19"/>
        <v/>
      </c>
      <c r="AY31" s="7" t="str">
        <f t="shared" si="35"/>
        <v/>
      </c>
      <c r="AZ31" s="7" t="str">
        <f t="shared" si="36"/>
        <v/>
      </c>
    </row>
    <row r="32" spans="1:52" ht="13.2">
      <c r="A32" s="7" t="str">
        <f>HIDDEN!H31</f>
        <v/>
      </c>
      <c r="B32" s="7" t="str">
        <f>IFERROR(MATCH(A32,'3)PACIENTES'!$A$2:$A$97,0),"")</f>
        <v/>
      </c>
      <c r="C32" s="24" t="str">
        <f>IFERROR(INDEX('3)PACIENTES'!D$2:D$97,SAMPLES!$B32),"")</f>
        <v/>
      </c>
      <c r="D32" s="24" t="str">
        <f>IFERROR(INDEX('3)PACIENTES'!B$2:B$97,SAMPLES!$B32),"")</f>
        <v/>
      </c>
      <c r="E32" s="24" t="str">
        <f>IFERROR(INDEX('3)PACIENTES'!$C$2:$C124,SAMPLES!$B32),"")</f>
        <v/>
      </c>
      <c r="F32" s="22">
        <f>'3)PACIENTES'!$F$2</f>
        <v>44039</v>
      </c>
      <c r="G32" s="13" t="str">
        <f>IFERROR(INDEX('3)PACIENTES'!E$2:E$97,SAMPLES!$B32),"")</f>
        <v/>
      </c>
      <c r="H32" s="17" t="str">
        <f t="shared" si="0"/>
        <v/>
      </c>
      <c r="I32" s="17" t="str">
        <f t="shared" si="20"/>
        <v/>
      </c>
      <c r="J32" s="32" t="str">
        <f t="array" ref="J32">IFERROR(INDEX('1)qPCR'!$E$2:$E$97,MATCH(INDEX(HIDDEN!$C$1:$C$96,SMALL(IF(HIDDEN!$B$1:$B$96=$A32&amp;";"&amp;J$1,ROW(HIDDEN!$B$1:$B$96)-ROW(INDEX(HIDDEN!$B$1:$B$96,1,1))+1),J$2)),'1)qPCR'!$A$2:$A$97,0)),"")</f>
        <v/>
      </c>
      <c r="K32" s="32" t="str">
        <f t="array" ref="K32">IFERROR(INDEX('1)qPCR'!$E$2:$E$97,MATCH(INDEX(HIDDEN!$C$1:$C$96,SMALL(IF(HIDDEN!$B$1:$B$96=$A32&amp;";"&amp;K$1,ROW(HIDDEN!$B$1:$B$96)-ROW(INDEX(HIDDEN!$B$1:$B$96,1,1))+1),K$2)),'1)qPCR'!$A$2:$A$97,0)),"")</f>
        <v/>
      </c>
      <c r="L32" s="32" t="str">
        <f t="array" ref="L32">IFERROR(INDEX('1)qPCR'!$E$2:$E$97,MATCH(INDEX(HIDDEN!$C$1:$C$96,SMALL(IF(HIDDEN!$B$1:$B$96=$A32&amp;";"&amp;L$1,ROW(HIDDEN!$B$1:$B$96)-ROW(INDEX(HIDDEN!$B$1:$B$96,1,1))+1),L$2)),'1)qPCR'!$A$2:$A$97,0)),"")</f>
        <v/>
      </c>
      <c r="M32" s="32" t="str">
        <f t="array" ref="M32">IFERROR(INDEX('1)qPCR'!$E$2:$E$97,MATCH(INDEX(HIDDEN!$C$1:$C$96,SMALL(IF(HIDDEN!$B$1:$B$96=$A32&amp;";"&amp;M$1,ROW(HIDDEN!$B$1:$B$96)-ROW(INDEX(HIDDEN!$B$1:$B$96,1,1))+1),M$2)),'1)qPCR'!$A$2:$A$97,0)),"")</f>
        <v/>
      </c>
      <c r="N32" s="32" t="str">
        <f t="array" ref="N32">IFERROR(INDEX('1)qPCR'!$E$2:$E$97,MATCH(INDEX(HIDDEN!$C$1:$C$96,SMALL(IF(HIDDEN!$B$1:$B$96=$A32&amp;";"&amp;N$1,ROW(HIDDEN!$B$1:$B$96)-ROW(INDEX(HIDDEN!$B$1:$B$96,1,1))+1),N$2)),'1)qPCR'!$A$2:$A$97,0)),"")</f>
        <v/>
      </c>
      <c r="O32" s="32" t="str">
        <f t="array" ref="O32">IFERROR(INDEX('1)qPCR'!$E$2:$E$97,MATCH(INDEX(HIDDEN!$C$1:$C$96,SMALL(IF(HIDDEN!$B$1:$B$96=$A32&amp;";"&amp;O$1,ROW(HIDDEN!$B$1:$B$96)-ROW(INDEX(HIDDEN!$B$1:$B$96,1,1))+1),O$2)),'1)qPCR'!$A$2:$A$97,0)),"")</f>
        <v/>
      </c>
      <c r="P32" s="7" t="str">
        <f t="shared" si="1"/>
        <v/>
      </c>
      <c r="Q32" s="18" t="str">
        <f t="shared" si="3"/>
        <v/>
      </c>
      <c r="R32" s="7" t="str">
        <f t="shared" si="2"/>
        <v/>
      </c>
      <c r="S32" s="18" t="str">
        <f t="shared" si="4"/>
        <v/>
      </c>
      <c r="T32" s="10" t="str">
        <f t="shared" si="21"/>
        <v/>
      </c>
      <c r="U32" s="10" t="str">
        <f t="shared" si="22"/>
        <v/>
      </c>
      <c r="V32" s="17" t="str">
        <f t="shared" si="23"/>
        <v/>
      </c>
      <c r="W32" s="17" t="str">
        <f t="shared" si="24"/>
        <v/>
      </c>
      <c r="X32" s="17" t="str">
        <f t="shared" si="37"/>
        <v/>
      </c>
      <c r="Y32" s="17" t="str">
        <f t="shared" si="38"/>
        <v/>
      </c>
      <c r="Z32" s="17" t="str">
        <f t="shared" si="6"/>
        <v/>
      </c>
      <c r="AA32" s="17" t="str">
        <f t="shared" si="7"/>
        <v/>
      </c>
      <c r="AB32" s="17" t="str">
        <f t="shared" si="39"/>
        <v/>
      </c>
      <c r="AC32" s="17" t="str">
        <f t="shared" si="40"/>
        <v/>
      </c>
      <c r="AD32" s="17" t="str">
        <f t="shared" si="10"/>
        <v/>
      </c>
      <c r="AE32" s="17" t="str">
        <f t="shared" si="11"/>
        <v/>
      </c>
      <c r="AF32" s="17" t="str">
        <f t="shared" si="12"/>
        <v/>
      </c>
      <c r="AG32" s="17">
        <f t="shared" si="26"/>
        <v>0</v>
      </c>
      <c r="AH32" s="17">
        <f t="shared" si="13"/>
        <v>0</v>
      </c>
      <c r="AI32" s="17">
        <f t="shared" si="27"/>
        <v>0</v>
      </c>
      <c r="AJ32" s="17" t="str">
        <f>IF(AP32="","",IF(AP32&lt;=RANGES!$A$8,1,IF(AP32&lt;=RANGES!$A$9,2,IF(AP32&lt;=RANGES!$A$10,3,IF(AP32&lt;=RANGES!$A$11,4,IF(AP32&lt;=RANGES!$A$12,5,IF(AP32&lt;=RANGES!$A$13,6,IF(AP32&lt;=RANGES!$A$14,7,8))))))))</f>
        <v/>
      </c>
      <c r="AK32" s="17" t="str">
        <f ca="1">IFERROR(INDEX(RANGES!$C$7:$H$7,1,IF(AO32&lt;=INDIRECT("RANGES!C"&amp;7+AJ32),1,IF(AO32&lt;=INDIRECT("RANGES!D"&amp;7+AJ32),2,IF(AO32&lt;=INDIRECT("RANGES!E"&amp;7+AJ32),3,IF(AO32&lt;=INDIRECT("RANGES!F"&amp;7+AJ32),4,IF(AO32&lt;=INDIRECT("RANGES!G"&amp;7+AJ32),5,6)))))),"")</f>
        <v/>
      </c>
      <c r="AL32" s="17">
        <f t="shared" si="14"/>
        <v>0</v>
      </c>
      <c r="AM32" s="17" t="str">
        <f t="shared" si="15"/>
        <v/>
      </c>
      <c r="AN32" s="17" t="str">
        <f t="shared" si="28"/>
        <v/>
      </c>
      <c r="AO32" s="17" t="str">
        <f t="shared" si="29"/>
        <v/>
      </c>
      <c r="AP32" s="17" t="str">
        <f t="shared" si="16"/>
        <v/>
      </c>
      <c r="AQ32" s="17" t="str">
        <f t="shared" si="30"/>
        <v/>
      </c>
      <c r="AR32" s="17" t="str">
        <f t="shared" si="31"/>
        <v/>
      </c>
      <c r="AS32" s="17" t="str">
        <f t="shared" si="32"/>
        <v/>
      </c>
      <c r="AT32" s="7" t="str">
        <f t="shared" si="17"/>
        <v/>
      </c>
      <c r="AU32" s="10" t="str">
        <f t="shared" si="33"/>
        <v/>
      </c>
      <c r="AV32" s="7" t="str">
        <f t="shared" si="18"/>
        <v/>
      </c>
      <c r="AW32" s="21" t="str">
        <f t="shared" si="34"/>
        <v/>
      </c>
      <c r="AX32" s="21" t="str">
        <f t="shared" si="19"/>
        <v/>
      </c>
      <c r="AY32" s="7" t="str">
        <f t="shared" si="35"/>
        <v/>
      </c>
      <c r="AZ32" s="7" t="str">
        <f t="shared" si="36"/>
        <v/>
      </c>
    </row>
    <row r="33" spans="1:52" ht="13.2">
      <c r="A33" s="7" t="str">
        <f>HIDDEN!H32</f>
        <v/>
      </c>
      <c r="B33" s="7" t="str">
        <f>IFERROR(MATCH(A33,'3)PACIENTES'!$A$2:$A$97,0),"")</f>
        <v/>
      </c>
      <c r="C33" s="24" t="str">
        <f>IFERROR(INDEX('3)PACIENTES'!D$2:D$97,SAMPLES!$B33),"")</f>
        <v/>
      </c>
      <c r="D33" s="24" t="str">
        <f>IFERROR(INDEX('3)PACIENTES'!B$2:B$97,SAMPLES!$B33),"")</f>
        <v/>
      </c>
      <c r="E33" s="24" t="str">
        <f>IFERROR(INDEX('3)PACIENTES'!$C$2:$C125,SAMPLES!$B33),"")</f>
        <v/>
      </c>
      <c r="F33" s="22">
        <f>'3)PACIENTES'!$F$2</f>
        <v>44039</v>
      </c>
      <c r="G33" s="13" t="str">
        <f>IFERROR(INDEX('3)PACIENTES'!E$2:E$97,SAMPLES!$B33),"")</f>
        <v/>
      </c>
      <c r="H33" s="17" t="str">
        <f t="shared" si="0"/>
        <v/>
      </c>
      <c r="I33" s="17" t="str">
        <f t="shared" si="20"/>
        <v/>
      </c>
      <c r="J33" s="32" t="str">
        <f t="array" ref="J33">IFERROR(INDEX('1)qPCR'!$E$2:$E$97,MATCH(INDEX(HIDDEN!$C$1:$C$96,SMALL(IF(HIDDEN!$B$1:$B$96=$A33&amp;";"&amp;J$1,ROW(HIDDEN!$B$1:$B$96)-ROW(INDEX(HIDDEN!$B$1:$B$96,1,1))+1),J$2)),'1)qPCR'!$A$2:$A$97,0)),"")</f>
        <v/>
      </c>
      <c r="K33" s="32" t="str">
        <f t="array" ref="K33">IFERROR(INDEX('1)qPCR'!$E$2:$E$97,MATCH(INDEX(HIDDEN!$C$1:$C$96,SMALL(IF(HIDDEN!$B$1:$B$96=$A33&amp;";"&amp;K$1,ROW(HIDDEN!$B$1:$B$96)-ROW(INDEX(HIDDEN!$B$1:$B$96,1,1))+1),K$2)),'1)qPCR'!$A$2:$A$97,0)),"")</f>
        <v/>
      </c>
      <c r="L33" s="32" t="str">
        <f t="array" ref="L33">IFERROR(INDEX('1)qPCR'!$E$2:$E$97,MATCH(INDEX(HIDDEN!$C$1:$C$96,SMALL(IF(HIDDEN!$B$1:$B$96=$A33&amp;";"&amp;L$1,ROW(HIDDEN!$B$1:$B$96)-ROW(INDEX(HIDDEN!$B$1:$B$96,1,1))+1),L$2)),'1)qPCR'!$A$2:$A$97,0)),"")</f>
        <v/>
      </c>
      <c r="M33" s="32" t="str">
        <f t="array" ref="M33">IFERROR(INDEX('1)qPCR'!$E$2:$E$97,MATCH(INDEX(HIDDEN!$C$1:$C$96,SMALL(IF(HIDDEN!$B$1:$B$96=$A33&amp;";"&amp;M$1,ROW(HIDDEN!$B$1:$B$96)-ROW(INDEX(HIDDEN!$B$1:$B$96,1,1))+1),M$2)),'1)qPCR'!$A$2:$A$97,0)),"")</f>
        <v/>
      </c>
      <c r="N33" s="32" t="str">
        <f t="array" ref="N33">IFERROR(INDEX('1)qPCR'!$E$2:$E$97,MATCH(INDEX(HIDDEN!$C$1:$C$96,SMALL(IF(HIDDEN!$B$1:$B$96=$A33&amp;";"&amp;N$1,ROW(HIDDEN!$B$1:$B$96)-ROW(INDEX(HIDDEN!$B$1:$B$96,1,1))+1),N$2)),'1)qPCR'!$A$2:$A$97,0)),"")</f>
        <v/>
      </c>
      <c r="O33" s="32" t="str">
        <f t="array" ref="O33">IFERROR(INDEX('1)qPCR'!$E$2:$E$97,MATCH(INDEX(HIDDEN!$C$1:$C$96,SMALL(IF(HIDDEN!$B$1:$B$96=$A33&amp;";"&amp;O$1,ROW(HIDDEN!$B$1:$B$96)-ROW(INDEX(HIDDEN!$B$1:$B$96,1,1))+1),O$2)),'1)qPCR'!$A$2:$A$97,0)),"")</f>
        <v/>
      </c>
      <c r="P33" s="7" t="str">
        <f t="shared" si="1"/>
        <v/>
      </c>
      <c r="Q33" s="18" t="str">
        <f t="shared" si="3"/>
        <v/>
      </c>
      <c r="R33" s="7" t="str">
        <f t="shared" si="2"/>
        <v/>
      </c>
      <c r="S33" s="18" t="str">
        <f t="shared" si="4"/>
        <v/>
      </c>
      <c r="T33" s="10" t="str">
        <f t="shared" si="21"/>
        <v/>
      </c>
      <c r="U33" s="10" t="str">
        <f t="shared" si="22"/>
        <v/>
      </c>
      <c r="V33" s="17" t="str">
        <f t="shared" si="23"/>
        <v/>
      </c>
      <c r="W33" s="17" t="str">
        <f t="shared" si="24"/>
        <v/>
      </c>
      <c r="X33" s="17" t="str">
        <f t="shared" si="37"/>
        <v/>
      </c>
      <c r="Y33" s="17" t="str">
        <f t="shared" si="38"/>
        <v/>
      </c>
      <c r="Z33" s="17" t="str">
        <f t="shared" si="6"/>
        <v/>
      </c>
      <c r="AA33" s="17" t="str">
        <f t="shared" si="7"/>
        <v/>
      </c>
      <c r="AB33" s="17" t="str">
        <f t="shared" si="39"/>
        <v/>
      </c>
      <c r="AC33" s="17" t="str">
        <f t="shared" si="40"/>
        <v/>
      </c>
      <c r="AD33" s="17" t="str">
        <f t="shared" si="10"/>
        <v/>
      </c>
      <c r="AE33" s="17" t="str">
        <f t="shared" si="11"/>
        <v/>
      </c>
      <c r="AF33" s="17" t="str">
        <f t="shared" si="12"/>
        <v/>
      </c>
      <c r="AG33" s="17">
        <f t="shared" si="26"/>
        <v>0</v>
      </c>
      <c r="AH33" s="17">
        <f t="shared" si="13"/>
        <v>0</v>
      </c>
      <c r="AI33" s="17">
        <f t="shared" si="27"/>
        <v>0</v>
      </c>
      <c r="AJ33" s="17" t="str">
        <f>IF(AP33="","",IF(AP33&lt;=RANGES!$A$8,1,IF(AP33&lt;=RANGES!$A$9,2,IF(AP33&lt;=RANGES!$A$10,3,IF(AP33&lt;=RANGES!$A$11,4,IF(AP33&lt;=RANGES!$A$12,5,IF(AP33&lt;=RANGES!$A$13,6,IF(AP33&lt;=RANGES!$A$14,7,8))))))))</f>
        <v/>
      </c>
      <c r="AK33" s="17" t="str">
        <f ca="1">IFERROR(INDEX(RANGES!$C$7:$H$7,1,IF(AO33&lt;=INDIRECT("RANGES!C"&amp;7+AJ33),1,IF(AO33&lt;=INDIRECT("RANGES!D"&amp;7+AJ33),2,IF(AO33&lt;=INDIRECT("RANGES!E"&amp;7+AJ33),3,IF(AO33&lt;=INDIRECT("RANGES!F"&amp;7+AJ33),4,IF(AO33&lt;=INDIRECT("RANGES!G"&amp;7+AJ33),5,6)))))),"")</f>
        <v/>
      </c>
      <c r="AL33" s="17">
        <f t="shared" si="14"/>
        <v>0</v>
      </c>
      <c r="AM33" s="17" t="str">
        <f t="shared" si="15"/>
        <v/>
      </c>
      <c r="AN33" s="17" t="str">
        <f t="shared" si="28"/>
        <v/>
      </c>
      <c r="AO33" s="17" t="str">
        <f t="shared" si="29"/>
        <v/>
      </c>
      <c r="AP33" s="17" t="str">
        <f t="shared" si="16"/>
        <v/>
      </c>
      <c r="AQ33" s="17" t="str">
        <f t="shared" si="30"/>
        <v/>
      </c>
      <c r="AR33" s="17" t="str">
        <f t="shared" si="31"/>
        <v/>
      </c>
      <c r="AS33" s="17" t="str">
        <f t="shared" si="32"/>
        <v/>
      </c>
      <c r="AT33" s="7" t="str">
        <f t="shared" si="17"/>
        <v/>
      </c>
      <c r="AU33" s="10" t="str">
        <f t="shared" si="33"/>
        <v/>
      </c>
      <c r="AV33" s="7" t="str">
        <f t="shared" si="18"/>
        <v/>
      </c>
      <c r="AW33" s="21" t="str">
        <f t="shared" si="34"/>
        <v/>
      </c>
      <c r="AX33" s="21" t="str">
        <f t="shared" si="19"/>
        <v/>
      </c>
      <c r="AY33" s="7" t="str">
        <f t="shared" si="35"/>
        <v/>
      </c>
      <c r="AZ33" s="7" t="str">
        <f t="shared" si="36"/>
        <v/>
      </c>
    </row>
    <row r="34" spans="1:52" s="25" customFormat="1" ht="13.2">
      <c r="A34" s="7" t="str">
        <f>HIDDEN!H33</f>
        <v/>
      </c>
      <c r="B34" s="7" t="str">
        <f>IFERROR(MATCH(A34,'3)PACIENTES'!$A$2:$A$97,0),"")</f>
        <v/>
      </c>
      <c r="C34" s="24" t="str">
        <f>IFERROR(INDEX('3)PACIENTES'!D$2:D$97,SAMPLES!$B34),"")</f>
        <v/>
      </c>
      <c r="D34" s="24" t="str">
        <f>IFERROR(INDEX('3)PACIENTES'!B$2:B$97,SAMPLES!$B34),"")</f>
        <v/>
      </c>
      <c r="E34" s="24" t="str">
        <f>IFERROR(INDEX('3)PACIENTES'!$C$2:$C126,SAMPLES!$B34),"")</f>
        <v/>
      </c>
      <c r="F34" s="22">
        <f>'3)PACIENTES'!$F$2</f>
        <v>44039</v>
      </c>
      <c r="G34" s="13" t="str">
        <f>IFERROR(INDEX('3)PACIENTES'!E$2:E$97,SAMPLES!$B34),"")</f>
        <v/>
      </c>
      <c r="H34" s="17" t="str">
        <f t="shared" si="0"/>
        <v/>
      </c>
      <c r="I34" s="17" t="str">
        <f t="shared" si="20"/>
        <v/>
      </c>
      <c r="J34" s="32" t="str">
        <f t="array" ref="J34">IFERROR(INDEX('1)qPCR'!$E$2:$E$97,MATCH(INDEX(HIDDEN!$C$1:$C$96,SMALL(IF(HIDDEN!$B$1:$B$96=$A34&amp;";"&amp;J$1,ROW(HIDDEN!$B$1:$B$96)-ROW(INDEX(HIDDEN!$B$1:$B$96,1,1))+1),J$2)),'1)qPCR'!$A$2:$A$97,0)),"")</f>
        <v/>
      </c>
      <c r="K34" s="32" t="str">
        <f t="array" ref="K34">IFERROR(INDEX('1)qPCR'!$E$2:$E$97,MATCH(INDEX(HIDDEN!$C$1:$C$96,SMALL(IF(HIDDEN!$B$1:$B$96=$A34&amp;";"&amp;K$1,ROW(HIDDEN!$B$1:$B$96)-ROW(INDEX(HIDDEN!$B$1:$B$96,1,1))+1),K$2)),'1)qPCR'!$A$2:$A$97,0)),"")</f>
        <v/>
      </c>
      <c r="L34" s="32" t="str">
        <f t="array" ref="L34">IFERROR(INDEX('1)qPCR'!$E$2:$E$97,MATCH(INDEX(HIDDEN!$C$1:$C$96,SMALL(IF(HIDDEN!$B$1:$B$96=$A34&amp;";"&amp;L$1,ROW(HIDDEN!$B$1:$B$96)-ROW(INDEX(HIDDEN!$B$1:$B$96,1,1))+1),L$2)),'1)qPCR'!$A$2:$A$97,0)),"")</f>
        <v/>
      </c>
      <c r="M34" s="32" t="str">
        <f t="array" ref="M34">IFERROR(INDEX('1)qPCR'!$E$2:$E$97,MATCH(INDEX(HIDDEN!$C$1:$C$96,SMALL(IF(HIDDEN!$B$1:$B$96=$A34&amp;";"&amp;M$1,ROW(HIDDEN!$B$1:$B$96)-ROW(INDEX(HIDDEN!$B$1:$B$96,1,1))+1),M$2)),'1)qPCR'!$A$2:$A$97,0)),"")</f>
        <v/>
      </c>
      <c r="N34" s="32" t="str">
        <f t="array" ref="N34">IFERROR(INDEX('1)qPCR'!$E$2:$E$97,MATCH(INDEX(HIDDEN!$C$1:$C$96,SMALL(IF(HIDDEN!$B$1:$B$96=$A34&amp;";"&amp;N$1,ROW(HIDDEN!$B$1:$B$96)-ROW(INDEX(HIDDEN!$B$1:$B$96,1,1))+1),N$2)),'1)qPCR'!$A$2:$A$97,0)),"")</f>
        <v/>
      </c>
      <c r="O34" s="32" t="str">
        <f t="array" ref="O34">IFERROR(INDEX('1)qPCR'!$E$2:$E$97,MATCH(INDEX(HIDDEN!$C$1:$C$96,SMALL(IF(HIDDEN!$B$1:$B$96=$A34&amp;";"&amp;O$1,ROW(HIDDEN!$B$1:$B$96)-ROW(INDEX(HIDDEN!$B$1:$B$96,1,1))+1),O$2)),'1)qPCR'!$A$2:$A$97,0)),"")</f>
        <v/>
      </c>
      <c r="P34" s="7" t="str">
        <f t="shared" si="1"/>
        <v/>
      </c>
      <c r="Q34" s="18" t="str">
        <f t="shared" si="3"/>
        <v/>
      </c>
      <c r="R34" s="7" t="str">
        <f t="shared" si="2"/>
        <v/>
      </c>
      <c r="S34" s="18" t="str">
        <f t="shared" si="4"/>
        <v/>
      </c>
      <c r="T34" s="10" t="str">
        <f t="shared" si="21"/>
        <v/>
      </c>
      <c r="U34" s="10" t="str">
        <f t="shared" si="22"/>
        <v/>
      </c>
      <c r="V34" s="17" t="str">
        <f t="shared" si="23"/>
        <v/>
      </c>
      <c r="W34" s="17" t="str">
        <f t="shared" si="24"/>
        <v/>
      </c>
      <c r="X34" s="17" t="str">
        <f t="shared" si="37"/>
        <v/>
      </c>
      <c r="Y34" s="17" t="str">
        <f t="shared" si="38"/>
        <v/>
      </c>
      <c r="Z34" s="17" t="str">
        <f t="shared" si="6"/>
        <v/>
      </c>
      <c r="AA34" s="17" t="str">
        <f t="shared" si="7"/>
        <v/>
      </c>
      <c r="AB34" s="17" t="str">
        <f t="shared" si="39"/>
        <v/>
      </c>
      <c r="AC34" s="17" t="str">
        <f t="shared" si="40"/>
        <v/>
      </c>
      <c r="AD34" s="17" t="str">
        <f t="shared" si="10"/>
        <v/>
      </c>
      <c r="AE34" s="17" t="str">
        <f t="shared" si="11"/>
        <v/>
      </c>
      <c r="AF34" s="17" t="str">
        <f t="shared" si="12"/>
        <v/>
      </c>
      <c r="AG34" s="17">
        <f t="shared" si="26"/>
        <v>0</v>
      </c>
      <c r="AH34" s="17">
        <f t="shared" si="13"/>
        <v>0</v>
      </c>
      <c r="AI34" s="17">
        <f t="shared" si="27"/>
        <v>0</v>
      </c>
      <c r="AJ34" s="17" t="str">
        <f>IF(AP34="","",IF(AP34&lt;=RANGES!$A$8,1,IF(AP34&lt;=RANGES!$A$9,2,IF(AP34&lt;=RANGES!$A$10,3,IF(AP34&lt;=RANGES!$A$11,4,IF(AP34&lt;=RANGES!$A$12,5,IF(AP34&lt;=RANGES!$A$13,6,IF(AP34&lt;=RANGES!$A$14,7,8))))))))</f>
        <v/>
      </c>
      <c r="AK34" s="17" t="str">
        <f ca="1">IFERROR(INDEX(RANGES!$C$7:$H$7,1,IF(AO34&lt;=INDIRECT("RANGES!C"&amp;7+AJ34),1,IF(AO34&lt;=INDIRECT("RANGES!D"&amp;7+AJ34),2,IF(AO34&lt;=INDIRECT("RANGES!E"&amp;7+AJ34),3,IF(AO34&lt;=INDIRECT("RANGES!F"&amp;7+AJ34),4,IF(AO34&lt;=INDIRECT("RANGES!G"&amp;7+AJ34),5,6)))))),"")</f>
        <v/>
      </c>
      <c r="AL34" s="17">
        <f t="shared" si="14"/>
        <v>0</v>
      </c>
      <c r="AM34" s="17" t="str">
        <f t="shared" si="15"/>
        <v/>
      </c>
      <c r="AN34" s="17" t="str">
        <f t="shared" si="28"/>
        <v/>
      </c>
      <c r="AO34" s="17" t="str">
        <f t="shared" si="29"/>
        <v/>
      </c>
      <c r="AP34" s="17" t="str">
        <f t="shared" si="16"/>
        <v/>
      </c>
      <c r="AQ34" s="17" t="str">
        <f t="shared" si="30"/>
        <v/>
      </c>
      <c r="AR34" s="17" t="str">
        <f t="shared" si="31"/>
        <v/>
      </c>
      <c r="AS34" s="17" t="str">
        <f t="shared" si="32"/>
        <v/>
      </c>
      <c r="AT34" s="7" t="str">
        <f t="shared" si="17"/>
        <v/>
      </c>
      <c r="AU34" s="10" t="str">
        <f t="shared" si="33"/>
        <v/>
      </c>
      <c r="AV34" s="7" t="str">
        <f t="shared" si="18"/>
        <v/>
      </c>
      <c r="AW34" s="21" t="str">
        <f t="shared" si="34"/>
        <v/>
      </c>
      <c r="AX34" s="21" t="str">
        <f t="shared" si="19"/>
        <v/>
      </c>
      <c r="AY34" s="7" t="str">
        <f t="shared" si="35"/>
        <v/>
      </c>
      <c r="AZ34" s="7" t="str">
        <f t="shared" si="36"/>
        <v/>
      </c>
    </row>
    <row r="35" spans="1:52" ht="13.2">
      <c r="A35" s="7" t="str">
        <f>HIDDEN!H34</f>
        <v/>
      </c>
      <c r="B35" s="7" t="str">
        <f>IFERROR(MATCH(A35,'3)PACIENTES'!$A$2:$A$97,0),"")</f>
        <v/>
      </c>
      <c r="C35" s="24" t="str">
        <f>IFERROR(INDEX('3)PACIENTES'!D$2:D$97,SAMPLES!$B35),"")</f>
        <v/>
      </c>
      <c r="D35" s="24" t="str">
        <f>IFERROR(INDEX('3)PACIENTES'!B$2:B$97,SAMPLES!$B35),"")</f>
        <v/>
      </c>
      <c r="E35" s="24" t="str">
        <f>IFERROR(INDEX('3)PACIENTES'!$C$2:$C127,SAMPLES!$B35),"")</f>
        <v/>
      </c>
      <c r="F35" s="22">
        <f>'3)PACIENTES'!$F$2</f>
        <v>44039</v>
      </c>
      <c r="G35" s="13" t="str">
        <f>IFERROR(INDEX('3)PACIENTES'!E$2:E$97,SAMPLES!$B35),"")</f>
        <v/>
      </c>
      <c r="H35" s="17" t="str">
        <f t="shared" si="0"/>
        <v/>
      </c>
      <c r="I35" s="17" t="str">
        <f t="shared" si="20"/>
        <v/>
      </c>
      <c r="J35" s="32" t="str">
        <f t="array" ref="J35">IFERROR(INDEX('1)qPCR'!$E$2:$E$97,MATCH(INDEX(HIDDEN!$C$1:$C$96,SMALL(IF(HIDDEN!$B$1:$B$96=$A35&amp;";"&amp;J$1,ROW(HIDDEN!$B$1:$B$96)-ROW(INDEX(HIDDEN!$B$1:$B$96,1,1))+1),J$2)),'1)qPCR'!$A$2:$A$97,0)),"")</f>
        <v/>
      </c>
      <c r="K35" s="32" t="str">
        <f t="array" ref="K35">IFERROR(INDEX('1)qPCR'!$E$2:$E$97,MATCH(INDEX(HIDDEN!$C$1:$C$96,SMALL(IF(HIDDEN!$B$1:$B$96=$A35&amp;";"&amp;K$1,ROW(HIDDEN!$B$1:$B$96)-ROW(INDEX(HIDDEN!$B$1:$B$96,1,1))+1),K$2)),'1)qPCR'!$A$2:$A$97,0)),"")</f>
        <v/>
      </c>
      <c r="L35" s="32" t="str">
        <f t="array" ref="L35">IFERROR(INDEX('1)qPCR'!$E$2:$E$97,MATCH(INDEX(HIDDEN!$C$1:$C$96,SMALL(IF(HIDDEN!$B$1:$B$96=$A35&amp;";"&amp;L$1,ROW(HIDDEN!$B$1:$B$96)-ROW(INDEX(HIDDEN!$B$1:$B$96,1,1))+1),L$2)),'1)qPCR'!$A$2:$A$97,0)),"")</f>
        <v/>
      </c>
      <c r="M35" s="32" t="str">
        <f t="array" ref="M35">IFERROR(INDEX('1)qPCR'!$E$2:$E$97,MATCH(INDEX(HIDDEN!$C$1:$C$96,SMALL(IF(HIDDEN!$B$1:$B$96=$A35&amp;";"&amp;M$1,ROW(HIDDEN!$B$1:$B$96)-ROW(INDEX(HIDDEN!$B$1:$B$96,1,1))+1),M$2)),'1)qPCR'!$A$2:$A$97,0)),"")</f>
        <v/>
      </c>
      <c r="N35" s="32" t="str">
        <f t="array" ref="N35">IFERROR(INDEX('1)qPCR'!$E$2:$E$97,MATCH(INDEX(HIDDEN!$C$1:$C$96,SMALL(IF(HIDDEN!$B$1:$B$96=$A35&amp;";"&amp;N$1,ROW(HIDDEN!$B$1:$B$96)-ROW(INDEX(HIDDEN!$B$1:$B$96,1,1))+1),N$2)),'1)qPCR'!$A$2:$A$97,0)),"")</f>
        <v/>
      </c>
      <c r="O35" s="32" t="str">
        <f t="array" ref="O35">IFERROR(INDEX('1)qPCR'!$E$2:$E$97,MATCH(INDEX(HIDDEN!$C$1:$C$96,SMALL(IF(HIDDEN!$B$1:$B$96=$A35&amp;";"&amp;O$1,ROW(HIDDEN!$B$1:$B$96)-ROW(INDEX(HIDDEN!$B$1:$B$96,1,1))+1),O$2)),'1)qPCR'!$A$2:$A$97,0)),"")</f>
        <v/>
      </c>
      <c r="P35" s="7" t="str">
        <f t="shared" ref="P35:P66" si="41">IFERROR(_xlfn.STDEV.P(J35:L35),"")</f>
        <v/>
      </c>
      <c r="Q35" s="18" t="str">
        <f t="shared" si="3"/>
        <v/>
      </c>
      <c r="R35" s="7" t="str">
        <f t="shared" ref="R35:R66" si="42">IFERROR(_xlfn.STDEV.P(M35:O35),"")</f>
        <v/>
      </c>
      <c r="S35" s="18" t="str">
        <f t="shared" si="4"/>
        <v/>
      </c>
      <c r="T35" s="10" t="str">
        <f t="shared" si="21"/>
        <v/>
      </c>
      <c r="U35" s="10" t="str">
        <f t="shared" si="22"/>
        <v/>
      </c>
      <c r="V35" s="17" t="str">
        <f t="shared" si="23"/>
        <v/>
      </c>
      <c r="W35" s="17" t="str">
        <f t="shared" si="24"/>
        <v/>
      </c>
      <c r="X35" s="17" t="str">
        <f t="shared" si="37"/>
        <v/>
      </c>
      <c r="Y35" s="17" t="str">
        <f t="shared" si="38"/>
        <v/>
      </c>
      <c r="Z35" s="17" t="str">
        <f t="shared" si="6"/>
        <v/>
      </c>
      <c r="AA35" s="17" t="str">
        <f t="shared" si="7"/>
        <v/>
      </c>
      <c r="AB35" s="17" t="str">
        <f t="shared" si="39"/>
        <v/>
      </c>
      <c r="AC35" s="17" t="str">
        <f t="shared" si="40"/>
        <v/>
      </c>
      <c r="AD35" s="17" t="str">
        <f t="shared" si="10"/>
        <v/>
      </c>
      <c r="AE35" s="17" t="str">
        <f t="shared" si="11"/>
        <v/>
      </c>
      <c r="AF35" s="17" t="str">
        <f t="shared" si="12"/>
        <v/>
      </c>
      <c r="AG35" s="17">
        <f t="shared" si="26"/>
        <v>0</v>
      </c>
      <c r="AH35" s="17">
        <f t="shared" si="13"/>
        <v>0</v>
      </c>
      <c r="AI35" s="17">
        <f t="shared" si="27"/>
        <v>0</v>
      </c>
      <c r="AJ35" s="17" t="str">
        <f>IF(AP35="","",IF(AP35&lt;=RANGES!$A$8,1,IF(AP35&lt;=RANGES!$A$9,2,IF(AP35&lt;=RANGES!$A$10,3,IF(AP35&lt;=RANGES!$A$11,4,IF(AP35&lt;=RANGES!$A$12,5,IF(AP35&lt;=RANGES!$A$13,6,IF(AP35&lt;=RANGES!$A$14,7,8))))))))</f>
        <v/>
      </c>
      <c r="AK35" s="17" t="str">
        <f ca="1">IFERROR(INDEX(RANGES!$C$7:$H$7,1,IF(AO35&lt;=INDIRECT("RANGES!C"&amp;7+AJ35),1,IF(AO35&lt;=INDIRECT("RANGES!D"&amp;7+AJ35),2,IF(AO35&lt;=INDIRECT("RANGES!E"&amp;7+AJ35),3,IF(AO35&lt;=INDIRECT("RANGES!F"&amp;7+AJ35),4,IF(AO35&lt;=INDIRECT("RANGES!G"&amp;7+AJ35),5,6)))))),"")</f>
        <v/>
      </c>
      <c r="AL35" s="17">
        <f t="shared" si="14"/>
        <v>0</v>
      </c>
      <c r="AM35" s="17" t="str">
        <f t="shared" si="15"/>
        <v/>
      </c>
      <c r="AN35" s="17" t="str">
        <f t="shared" si="28"/>
        <v/>
      </c>
      <c r="AO35" s="17" t="str">
        <f t="shared" si="29"/>
        <v/>
      </c>
      <c r="AP35" s="17" t="str">
        <f t="shared" si="16"/>
        <v/>
      </c>
      <c r="AQ35" s="17" t="str">
        <f t="shared" si="30"/>
        <v/>
      </c>
      <c r="AR35" s="17" t="str">
        <f t="shared" si="31"/>
        <v/>
      </c>
      <c r="AS35" s="17" t="str">
        <f t="shared" si="32"/>
        <v/>
      </c>
      <c r="AT35" s="7" t="str">
        <f t="shared" si="17"/>
        <v/>
      </c>
      <c r="AU35" s="10" t="str">
        <f t="shared" si="33"/>
        <v/>
      </c>
      <c r="AV35" s="7" t="str">
        <f t="shared" si="18"/>
        <v/>
      </c>
      <c r="AW35" s="21" t="str">
        <f t="shared" si="34"/>
        <v/>
      </c>
      <c r="AX35" s="21" t="str">
        <f t="shared" si="19"/>
        <v/>
      </c>
      <c r="AY35" s="7" t="str">
        <f t="shared" si="35"/>
        <v/>
      </c>
      <c r="AZ35" s="7" t="str">
        <f t="shared" si="36"/>
        <v/>
      </c>
    </row>
    <row r="36" spans="1:52" ht="13.2">
      <c r="A36" s="7" t="str">
        <f>HIDDEN!H35</f>
        <v/>
      </c>
      <c r="B36" s="7" t="str">
        <f>IFERROR(MATCH(A36,'3)PACIENTES'!$A$2:$A$97,0),"")</f>
        <v/>
      </c>
      <c r="C36" s="24" t="str">
        <f>IFERROR(INDEX('3)PACIENTES'!D$2:D$97,SAMPLES!$B36),"")</f>
        <v/>
      </c>
      <c r="D36" s="24" t="str">
        <f>IFERROR(INDEX('3)PACIENTES'!B$2:B$97,SAMPLES!$B36),"")</f>
        <v/>
      </c>
      <c r="E36" s="24" t="str">
        <f>IFERROR(INDEX('3)PACIENTES'!$C$2:$C128,SAMPLES!$B36),"")</f>
        <v/>
      </c>
      <c r="F36" s="22">
        <f>'3)PACIENTES'!$F$2</f>
        <v>44039</v>
      </c>
      <c r="G36" s="13" t="str">
        <f>IFERROR(INDEX('3)PACIENTES'!E$2:E$97,SAMPLES!$B36),"")</f>
        <v/>
      </c>
      <c r="H36" s="17" t="str">
        <f t="shared" si="0"/>
        <v/>
      </c>
      <c r="I36" s="17" t="str">
        <f t="shared" si="20"/>
        <v/>
      </c>
      <c r="J36" s="32" t="str">
        <f t="array" ref="J36">IFERROR(INDEX('1)qPCR'!$E$2:$E$97,MATCH(INDEX(HIDDEN!$C$1:$C$96,SMALL(IF(HIDDEN!$B$1:$B$96=$A36&amp;";"&amp;J$1,ROW(HIDDEN!$B$1:$B$96)-ROW(INDEX(HIDDEN!$B$1:$B$96,1,1))+1),J$2)),'1)qPCR'!$A$2:$A$97,0)),"")</f>
        <v/>
      </c>
      <c r="K36" s="32" t="str">
        <f t="array" ref="K36">IFERROR(INDEX('1)qPCR'!$E$2:$E$97,MATCH(INDEX(HIDDEN!$C$1:$C$96,SMALL(IF(HIDDEN!$B$1:$B$96=$A36&amp;";"&amp;K$1,ROW(HIDDEN!$B$1:$B$96)-ROW(INDEX(HIDDEN!$B$1:$B$96,1,1))+1),K$2)),'1)qPCR'!$A$2:$A$97,0)),"")</f>
        <v/>
      </c>
      <c r="L36" s="32" t="str">
        <f t="array" ref="L36">IFERROR(INDEX('1)qPCR'!$E$2:$E$97,MATCH(INDEX(HIDDEN!$C$1:$C$96,SMALL(IF(HIDDEN!$B$1:$B$96=$A36&amp;";"&amp;L$1,ROW(HIDDEN!$B$1:$B$96)-ROW(INDEX(HIDDEN!$B$1:$B$96,1,1))+1),L$2)),'1)qPCR'!$A$2:$A$97,0)),"")</f>
        <v/>
      </c>
      <c r="M36" s="32" t="str">
        <f t="array" ref="M36">IFERROR(INDEX('1)qPCR'!$E$2:$E$97,MATCH(INDEX(HIDDEN!$C$1:$C$96,SMALL(IF(HIDDEN!$B$1:$B$96=$A36&amp;";"&amp;M$1,ROW(HIDDEN!$B$1:$B$96)-ROW(INDEX(HIDDEN!$B$1:$B$96,1,1))+1),M$2)),'1)qPCR'!$A$2:$A$97,0)),"")</f>
        <v/>
      </c>
      <c r="N36" s="32" t="str">
        <f t="array" ref="N36">IFERROR(INDEX('1)qPCR'!$E$2:$E$97,MATCH(INDEX(HIDDEN!$C$1:$C$96,SMALL(IF(HIDDEN!$B$1:$B$96=$A36&amp;";"&amp;N$1,ROW(HIDDEN!$B$1:$B$96)-ROW(INDEX(HIDDEN!$B$1:$B$96,1,1))+1),N$2)),'1)qPCR'!$A$2:$A$97,0)),"")</f>
        <v/>
      </c>
      <c r="O36" s="32" t="str">
        <f t="array" ref="O36">IFERROR(INDEX('1)qPCR'!$E$2:$E$97,MATCH(INDEX(HIDDEN!$C$1:$C$96,SMALL(IF(HIDDEN!$B$1:$B$96=$A36&amp;";"&amp;O$1,ROW(HIDDEN!$B$1:$B$96)-ROW(INDEX(HIDDEN!$B$1:$B$96,1,1))+1),O$2)),'1)qPCR'!$A$2:$A$97,0)),"")</f>
        <v/>
      </c>
      <c r="P36" s="7" t="str">
        <f t="shared" si="41"/>
        <v/>
      </c>
      <c r="Q36" s="18" t="str">
        <f t="shared" si="3"/>
        <v/>
      </c>
      <c r="R36" s="7" t="str">
        <f t="shared" si="42"/>
        <v/>
      </c>
      <c r="S36" s="18" t="str">
        <f t="shared" si="4"/>
        <v/>
      </c>
      <c r="T36" s="10" t="str">
        <f t="shared" si="21"/>
        <v/>
      </c>
      <c r="U36" s="10" t="str">
        <f t="shared" si="22"/>
        <v/>
      </c>
      <c r="V36" s="17" t="str">
        <f t="shared" si="23"/>
        <v/>
      </c>
      <c r="W36" s="17" t="str">
        <f t="shared" si="24"/>
        <v/>
      </c>
      <c r="X36" s="17" t="str">
        <f t="shared" si="37"/>
        <v/>
      </c>
      <c r="Y36" s="17" t="str">
        <f t="shared" si="38"/>
        <v/>
      </c>
      <c r="Z36" s="17" t="str">
        <f t="shared" si="6"/>
        <v/>
      </c>
      <c r="AA36" s="17" t="str">
        <f t="shared" si="7"/>
        <v/>
      </c>
      <c r="AB36" s="17" t="str">
        <f t="shared" si="39"/>
        <v/>
      </c>
      <c r="AC36" s="17" t="str">
        <f t="shared" si="40"/>
        <v/>
      </c>
      <c r="AD36" s="17" t="str">
        <f t="shared" si="10"/>
        <v/>
      </c>
      <c r="AE36" s="17" t="str">
        <f t="shared" si="11"/>
        <v/>
      </c>
      <c r="AF36" s="17" t="str">
        <f t="shared" si="12"/>
        <v/>
      </c>
      <c r="AG36" s="17">
        <f t="shared" si="26"/>
        <v>0</v>
      </c>
      <c r="AH36" s="17">
        <f t="shared" si="13"/>
        <v>0</v>
      </c>
      <c r="AI36" s="17">
        <f t="shared" si="27"/>
        <v>0</v>
      </c>
      <c r="AJ36" s="17" t="str">
        <f>IF(AP36="","",IF(AP36&lt;=RANGES!$A$8,1,IF(AP36&lt;=RANGES!$A$9,2,IF(AP36&lt;=RANGES!$A$10,3,IF(AP36&lt;=RANGES!$A$11,4,IF(AP36&lt;=RANGES!$A$12,5,IF(AP36&lt;=RANGES!$A$13,6,IF(AP36&lt;=RANGES!$A$14,7,8))))))))</f>
        <v/>
      </c>
      <c r="AK36" s="17" t="str">
        <f ca="1">IFERROR(INDEX(RANGES!$C$7:$H$7,1,IF(AO36&lt;=INDIRECT("RANGES!C"&amp;7+AJ36),1,IF(AO36&lt;=INDIRECT("RANGES!D"&amp;7+AJ36),2,IF(AO36&lt;=INDIRECT("RANGES!E"&amp;7+AJ36),3,IF(AO36&lt;=INDIRECT("RANGES!F"&amp;7+AJ36),4,IF(AO36&lt;=INDIRECT("RANGES!G"&amp;7+AJ36),5,6)))))),"")</f>
        <v/>
      </c>
      <c r="AL36" s="17">
        <f t="shared" ref="AL36:AL67" si="43">IFERROR(AH36-AI36,"")</f>
        <v>0</v>
      </c>
      <c r="AM36" s="17" t="str">
        <f t="shared" ref="AM36:AM67" si="44">IFERROR(_xlfn.DAYS(F36,G36),"")</f>
        <v/>
      </c>
      <c r="AN36" s="17" t="str">
        <f t="shared" si="28"/>
        <v/>
      </c>
      <c r="AO36" s="17" t="str">
        <f t="shared" si="29"/>
        <v/>
      </c>
      <c r="AP36" s="17" t="str">
        <f t="shared" ref="AP36:AP67" si="45">IFERROR(YEARFRAC(G36,F36),"")</f>
        <v/>
      </c>
      <c r="AQ36" s="17" t="str">
        <f t="shared" si="30"/>
        <v/>
      </c>
      <c r="AR36" s="17" t="str">
        <f t="shared" si="31"/>
        <v/>
      </c>
      <c r="AS36" s="17" t="str">
        <f t="shared" si="32"/>
        <v/>
      </c>
      <c r="AT36" s="7" t="str">
        <f t="shared" ref="AT36:AT67" si="46">IFERROR((Z36-AQ36)^2,"")</f>
        <v/>
      </c>
      <c r="AU36" s="10" t="str">
        <f t="shared" si="33"/>
        <v/>
      </c>
      <c r="AV36" s="7" t="str">
        <f t="shared" ref="AV36:AV67" si="47">IFERROR(MEDIAN(AB36:AC36),"")</f>
        <v/>
      </c>
      <c r="AW36" s="21" t="str">
        <f t="shared" si="34"/>
        <v/>
      </c>
      <c r="AX36" s="21" t="str">
        <f t="shared" ref="AX36:AX67" si="48">IFERROR(AC36-AW36,"")</f>
        <v/>
      </c>
      <c r="AY36" s="7" t="str">
        <f t="shared" si="35"/>
        <v/>
      </c>
      <c r="AZ36" s="7" t="str">
        <f t="shared" si="36"/>
        <v/>
      </c>
    </row>
    <row r="37" spans="1:52" ht="13.2">
      <c r="A37" s="7" t="str">
        <f>HIDDEN!H36</f>
        <v/>
      </c>
      <c r="B37" s="7" t="str">
        <f>IFERROR(MATCH(A37,'3)PACIENTES'!$A$2:$A$97,0),"")</f>
        <v/>
      </c>
      <c r="C37" s="24" t="str">
        <f>IFERROR(INDEX('3)PACIENTES'!D$2:D$97,SAMPLES!$B37),"")</f>
        <v/>
      </c>
      <c r="D37" s="24" t="str">
        <f>IFERROR(INDEX('3)PACIENTES'!B$2:B$97,SAMPLES!$B37),"")</f>
        <v/>
      </c>
      <c r="E37" s="24" t="str">
        <f>IFERROR(INDEX('3)PACIENTES'!$C$2:$C129,SAMPLES!$B37),"")</f>
        <v/>
      </c>
      <c r="F37" s="22">
        <f>'3)PACIENTES'!$F$2</f>
        <v>44039</v>
      </c>
      <c r="G37" s="13" t="str">
        <f>IFERROR(INDEX('3)PACIENTES'!E$2:E$97,SAMPLES!$B37),"")</f>
        <v/>
      </c>
      <c r="H37" s="17" t="str">
        <f t="shared" si="0"/>
        <v/>
      </c>
      <c r="I37" s="17" t="str">
        <f t="shared" si="20"/>
        <v/>
      </c>
      <c r="J37" s="32" t="str">
        <f t="array" ref="J37">IFERROR(INDEX('1)qPCR'!$E$2:$E$97,MATCH(INDEX(HIDDEN!$C$1:$C$96,SMALL(IF(HIDDEN!$B$1:$B$96=$A37&amp;";"&amp;J$1,ROW(HIDDEN!$B$1:$B$96)-ROW(INDEX(HIDDEN!$B$1:$B$96,1,1))+1),J$2)),'1)qPCR'!$A$2:$A$97,0)),"")</f>
        <v/>
      </c>
      <c r="K37" s="32" t="str">
        <f t="array" ref="K37">IFERROR(INDEX('1)qPCR'!$E$2:$E$97,MATCH(INDEX(HIDDEN!$C$1:$C$96,SMALL(IF(HIDDEN!$B$1:$B$96=$A37&amp;";"&amp;K$1,ROW(HIDDEN!$B$1:$B$96)-ROW(INDEX(HIDDEN!$B$1:$B$96,1,1))+1),K$2)),'1)qPCR'!$A$2:$A$97,0)),"")</f>
        <v/>
      </c>
      <c r="L37" s="32" t="str">
        <f t="array" ref="L37">IFERROR(INDEX('1)qPCR'!$E$2:$E$97,MATCH(INDEX(HIDDEN!$C$1:$C$96,SMALL(IF(HIDDEN!$B$1:$B$96=$A37&amp;";"&amp;L$1,ROW(HIDDEN!$B$1:$B$96)-ROW(INDEX(HIDDEN!$B$1:$B$96,1,1))+1),L$2)),'1)qPCR'!$A$2:$A$97,0)),"")</f>
        <v/>
      </c>
      <c r="M37" s="32" t="str">
        <f t="array" ref="M37">IFERROR(INDEX('1)qPCR'!$E$2:$E$97,MATCH(INDEX(HIDDEN!$C$1:$C$96,SMALL(IF(HIDDEN!$B$1:$B$96=$A37&amp;";"&amp;M$1,ROW(HIDDEN!$B$1:$B$96)-ROW(INDEX(HIDDEN!$B$1:$B$96,1,1))+1),M$2)),'1)qPCR'!$A$2:$A$97,0)),"")</f>
        <v/>
      </c>
      <c r="N37" s="32" t="str">
        <f t="array" ref="N37">IFERROR(INDEX('1)qPCR'!$E$2:$E$97,MATCH(INDEX(HIDDEN!$C$1:$C$96,SMALL(IF(HIDDEN!$B$1:$B$96=$A37&amp;";"&amp;N$1,ROW(HIDDEN!$B$1:$B$96)-ROW(INDEX(HIDDEN!$B$1:$B$96,1,1))+1),N$2)),'1)qPCR'!$A$2:$A$97,0)),"")</f>
        <v/>
      </c>
      <c r="O37" s="32" t="str">
        <f t="array" ref="O37">IFERROR(INDEX('1)qPCR'!$E$2:$E$97,MATCH(INDEX(HIDDEN!$C$1:$C$96,SMALL(IF(HIDDEN!$B$1:$B$96=$A37&amp;";"&amp;O$1,ROW(HIDDEN!$B$1:$B$96)-ROW(INDEX(HIDDEN!$B$1:$B$96,1,1))+1),O$2)),'1)qPCR'!$A$2:$A$97,0)),"")</f>
        <v/>
      </c>
      <c r="P37" s="7" t="str">
        <f t="shared" si="41"/>
        <v/>
      </c>
      <c r="Q37" s="18" t="str">
        <f t="shared" si="3"/>
        <v/>
      </c>
      <c r="R37" s="7" t="str">
        <f t="shared" si="42"/>
        <v/>
      </c>
      <c r="S37" s="18" t="str">
        <f t="shared" si="4"/>
        <v/>
      </c>
      <c r="T37" s="10" t="str">
        <f t="shared" si="21"/>
        <v/>
      </c>
      <c r="U37" s="10" t="str">
        <f t="shared" si="22"/>
        <v/>
      </c>
      <c r="V37" s="17" t="str">
        <f t="shared" si="23"/>
        <v/>
      </c>
      <c r="W37" s="17" t="str">
        <f t="shared" si="24"/>
        <v/>
      </c>
      <c r="X37" s="17" t="str">
        <f t="shared" si="37"/>
        <v/>
      </c>
      <c r="Y37" s="17" t="str">
        <f t="shared" si="38"/>
        <v/>
      </c>
      <c r="Z37" s="17" t="str">
        <f t="shared" si="6"/>
        <v/>
      </c>
      <c r="AA37" s="17" t="str">
        <f t="shared" si="7"/>
        <v/>
      </c>
      <c r="AB37" s="17" t="str">
        <f t="shared" si="39"/>
        <v/>
      </c>
      <c r="AC37" s="17" t="str">
        <f t="shared" si="40"/>
        <v/>
      </c>
      <c r="AD37" s="17" t="str">
        <f t="shared" si="10"/>
        <v/>
      </c>
      <c r="AE37" s="17" t="str">
        <f t="shared" si="11"/>
        <v/>
      </c>
      <c r="AF37" s="17" t="str">
        <f t="shared" si="12"/>
        <v/>
      </c>
      <c r="AG37" s="17">
        <f t="shared" si="26"/>
        <v>0</v>
      </c>
      <c r="AH37" s="17">
        <f t="shared" si="13"/>
        <v>0</v>
      </c>
      <c r="AI37" s="17">
        <f t="shared" si="27"/>
        <v>0</v>
      </c>
      <c r="AJ37" s="17" t="str">
        <f>IF(AP37="","",IF(AP37&lt;=RANGES!$A$8,1,IF(AP37&lt;=RANGES!$A$9,2,IF(AP37&lt;=RANGES!$A$10,3,IF(AP37&lt;=RANGES!$A$11,4,IF(AP37&lt;=RANGES!$A$12,5,IF(AP37&lt;=RANGES!$A$13,6,IF(AP37&lt;=RANGES!$A$14,7,8))))))))</f>
        <v/>
      </c>
      <c r="AK37" s="17" t="str">
        <f ca="1">IFERROR(INDEX(RANGES!$C$7:$H$7,1,IF(AO37&lt;=INDIRECT("RANGES!C"&amp;7+AJ37),1,IF(AO37&lt;=INDIRECT("RANGES!D"&amp;7+AJ37),2,IF(AO37&lt;=INDIRECT("RANGES!E"&amp;7+AJ37),3,IF(AO37&lt;=INDIRECT("RANGES!F"&amp;7+AJ37),4,IF(AO37&lt;=INDIRECT("RANGES!G"&amp;7+AJ37),5,6)))))),"")</f>
        <v/>
      </c>
      <c r="AL37" s="17">
        <f t="shared" si="43"/>
        <v>0</v>
      </c>
      <c r="AM37" s="17" t="str">
        <f t="shared" si="44"/>
        <v/>
      </c>
      <c r="AN37" s="17" t="str">
        <f t="shared" si="28"/>
        <v/>
      </c>
      <c r="AO37" s="17" t="str">
        <f t="shared" si="29"/>
        <v/>
      </c>
      <c r="AP37" s="17" t="str">
        <f t="shared" si="45"/>
        <v/>
      </c>
      <c r="AQ37" s="17" t="str">
        <f t="shared" si="30"/>
        <v/>
      </c>
      <c r="AR37" s="17" t="str">
        <f t="shared" si="31"/>
        <v/>
      </c>
      <c r="AS37" s="17" t="str">
        <f t="shared" si="32"/>
        <v/>
      </c>
      <c r="AT37" s="7" t="str">
        <f t="shared" si="46"/>
        <v/>
      </c>
      <c r="AU37" s="10" t="str">
        <f t="shared" si="33"/>
        <v/>
      </c>
      <c r="AV37" s="7" t="str">
        <f t="shared" si="47"/>
        <v/>
      </c>
      <c r="AW37" s="21" t="str">
        <f t="shared" si="34"/>
        <v/>
      </c>
      <c r="AX37" s="21" t="str">
        <f t="shared" si="48"/>
        <v/>
      </c>
      <c r="AY37" s="7" t="str">
        <f t="shared" si="35"/>
        <v/>
      </c>
      <c r="AZ37" s="7" t="str">
        <f t="shared" si="36"/>
        <v/>
      </c>
    </row>
    <row r="38" spans="1:52" ht="13.2">
      <c r="A38" s="7" t="str">
        <f>HIDDEN!H37</f>
        <v/>
      </c>
      <c r="B38" s="7" t="str">
        <f>IFERROR(MATCH(A38,'3)PACIENTES'!$A$2:$A$97,0),"")</f>
        <v/>
      </c>
      <c r="C38" s="24" t="str">
        <f>IFERROR(INDEX('3)PACIENTES'!D$2:D$97,SAMPLES!$B38),"")</f>
        <v/>
      </c>
      <c r="D38" s="24" t="str">
        <f>IFERROR(INDEX('3)PACIENTES'!B$2:B$97,SAMPLES!$B38),"")</f>
        <v/>
      </c>
      <c r="E38" s="24" t="str">
        <f>IFERROR(INDEX('3)PACIENTES'!$C$2:$C130,SAMPLES!$B38),"")</f>
        <v/>
      </c>
      <c r="F38" s="22">
        <f>'3)PACIENTES'!$F$2</f>
        <v>44039</v>
      </c>
      <c r="G38" s="13" t="str">
        <f>IFERROR(INDEX('3)PACIENTES'!E$2:E$97,SAMPLES!$B38),"")</f>
        <v/>
      </c>
      <c r="H38" s="17" t="str">
        <f t="shared" si="0"/>
        <v/>
      </c>
      <c r="I38" s="17" t="str">
        <f t="shared" si="20"/>
        <v/>
      </c>
      <c r="J38" s="32" t="str">
        <f t="array" ref="J38">IFERROR(INDEX('1)qPCR'!$E$2:$E$97,MATCH(INDEX(HIDDEN!$C$1:$C$96,SMALL(IF(HIDDEN!$B$1:$B$96=$A38&amp;";"&amp;J$1,ROW(HIDDEN!$B$1:$B$96)-ROW(INDEX(HIDDEN!$B$1:$B$96,1,1))+1),J$2)),'1)qPCR'!$A$2:$A$97,0)),"")</f>
        <v/>
      </c>
      <c r="K38" s="32" t="str">
        <f t="array" ref="K38">IFERROR(INDEX('1)qPCR'!$E$2:$E$97,MATCH(INDEX(HIDDEN!$C$1:$C$96,SMALL(IF(HIDDEN!$B$1:$B$96=$A38&amp;";"&amp;K$1,ROW(HIDDEN!$B$1:$B$96)-ROW(INDEX(HIDDEN!$B$1:$B$96,1,1))+1),K$2)),'1)qPCR'!$A$2:$A$97,0)),"")</f>
        <v/>
      </c>
      <c r="L38" s="32" t="str">
        <f t="array" ref="L38">IFERROR(INDEX('1)qPCR'!$E$2:$E$97,MATCH(INDEX(HIDDEN!$C$1:$C$96,SMALL(IF(HIDDEN!$B$1:$B$96=$A38&amp;";"&amp;L$1,ROW(HIDDEN!$B$1:$B$96)-ROW(INDEX(HIDDEN!$B$1:$B$96,1,1))+1),L$2)),'1)qPCR'!$A$2:$A$97,0)),"")</f>
        <v/>
      </c>
      <c r="M38" s="32" t="str">
        <f t="array" ref="M38">IFERROR(INDEX('1)qPCR'!$E$2:$E$97,MATCH(INDEX(HIDDEN!$C$1:$C$96,SMALL(IF(HIDDEN!$B$1:$B$96=$A38&amp;";"&amp;M$1,ROW(HIDDEN!$B$1:$B$96)-ROW(INDEX(HIDDEN!$B$1:$B$96,1,1))+1),M$2)),'1)qPCR'!$A$2:$A$97,0)),"")</f>
        <v/>
      </c>
      <c r="N38" s="32" t="str">
        <f t="array" ref="N38">IFERROR(INDEX('1)qPCR'!$E$2:$E$97,MATCH(INDEX(HIDDEN!$C$1:$C$96,SMALL(IF(HIDDEN!$B$1:$B$96=$A38&amp;";"&amp;N$1,ROW(HIDDEN!$B$1:$B$96)-ROW(INDEX(HIDDEN!$B$1:$B$96,1,1))+1),N$2)),'1)qPCR'!$A$2:$A$97,0)),"")</f>
        <v/>
      </c>
      <c r="O38" s="32" t="str">
        <f t="array" ref="O38">IFERROR(INDEX('1)qPCR'!$E$2:$E$97,MATCH(INDEX(HIDDEN!$C$1:$C$96,SMALL(IF(HIDDEN!$B$1:$B$96=$A38&amp;";"&amp;O$1,ROW(HIDDEN!$B$1:$B$96)-ROW(INDEX(HIDDEN!$B$1:$B$96,1,1))+1),O$2)),'1)qPCR'!$A$2:$A$97,0)),"")</f>
        <v/>
      </c>
      <c r="P38" s="7" t="str">
        <f t="shared" si="41"/>
        <v/>
      </c>
      <c r="Q38" s="18" t="str">
        <f t="shared" si="3"/>
        <v/>
      </c>
      <c r="R38" s="7" t="str">
        <f t="shared" si="42"/>
        <v/>
      </c>
      <c r="S38" s="18" t="str">
        <f t="shared" si="4"/>
        <v/>
      </c>
      <c r="T38" s="10" t="str">
        <f t="shared" si="21"/>
        <v/>
      </c>
      <c r="U38" s="10" t="str">
        <f t="shared" si="22"/>
        <v/>
      </c>
      <c r="V38" s="17" t="str">
        <f t="shared" si="23"/>
        <v/>
      </c>
      <c r="W38" s="17" t="str">
        <f t="shared" si="24"/>
        <v/>
      </c>
      <c r="X38" s="17" t="str">
        <f t="shared" si="37"/>
        <v/>
      </c>
      <c r="Y38" s="17" t="str">
        <f t="shared" si="38"/>
        <v/>
      </c>
      <c r="Z38" s="17" t="str">
        <f t="shared" si="6"/>
        <v/>
      </c>
      <c r="AA38" s="17" t="str">
        <f t="shared" si="7"/>
        <v/>
      </c>
      <c r="AB38" s="17" t="str">
        <f t="shared" si="39"/>
        <v/>
      </c>
      <c r="AC38" s="17" t="str">
        <f t="shared" si="40"/>
        <v/>
      </c>
      <c r="AD38" s="17" t="str">
        <f t="shared" si="10"/>
        <v/>
      </c>
      <c r="AE38" s="17" t="str">
        <f t="shared" si="11"/>
        <v/>
      </c>
      <c r="AF38" s="17" t="str">
        <f t="shared" si="12"/>
        <v/>
      </c>
      <c r="AG38" s="17">
        <f t="shared" si="26"/>
        <v>0</v>
      </c>
      <c r="AH38" s="17">
        <f t="shared" si="13"/>
        <v>0</v>
      </c>
      <c r="AI38" s="17">
        <f t="shared" si="27"/>
        <v>0</v>
      </c>
      <c r="AJ38" s="17" t="str">
        <f>IF(AP38="","",IF(AP38&lt;=RANGES!$A$8,1,IF(AP38&lt;=RANGES!$A$9,2,IF(AP38&lt;=RANGES!$A$10,3,IF(AP38&lt;=RANGES!$A$11,4,IF(AP38&lt;=RANGES!$A$12,5,IF(AP38&lt;=RANGES!$A$13,6,IF(AP38&lt;=RANGES!$A$14,7,8))))))))</f>
        <v/>
      </c>
      <c r="AK38" s="17" t="str">
        <f ca="1">IFERROR(INDEX(RANGES!$C$7:$H$7,1,IF(AO38&lt;=INDIRECT("RANGES!C"&amp;7+AJ38),1,IF(AO38&lt;=INDIRECT("RANGES!D"&amp;7+AJ38),2,IF(AO38&lt;=INDIRECT("RANGES!E"&amp;7+AJ38),3,IF(AO38&lt;=INDIRECT("RANGES!F"&amp;7+AJ38),4,IF(AO38&lt;=INDIRECT("RANGES!G"&amp;7+AJ38),5,6)))))),"")</f>
        <v/>
      </c>
      <c r="AL38" s="17">
        <f t="shared" si="43"/>
        <v>0</v>
      </c>
      <c r="AM38" s="17" t="str">
        <f t="shared" si="44"/>
        <v/>
      </c>
      <c r="AN38" s="17" t="str">
        <f t="shared" si="28"/>
        <v/>
      </c>
      <c r="AO38" s="17" t="str">
        <f t="shared" si="29"/>
        <v/>
      </c>
      <c r="AP38" s="17" t="str">
        <f t="shared" si="45"/>
        <v/>
      </c>
      <c r="AQ38" s="17" t="str">
        <f t="shared" si="30"/>
        <v/>
      </c>
      <c r="AR38" s="17" t="str">
        <f t="shared" si="31"/>
        <v/>
      </c>
      <c r="AS38" s="17" t="str">
        <f t="shared" si="32"/>
        <v/>
      </c>
      <c r="AT38" s="7" t="str">
        <f t="shared" si="46"/>
        <v/>
      </c>
      <c r="AU38" s="10" t="str">
        <f t="shared" si="33"/>
        <v/>
      </c>
      <c r="AV38" s="7" t="str">
        <f t="shared" si="47"/>
        <v/>
      </c>
      <c r="AW38" s="21" t="str">
        <f t="shared" si="34"/>
        <v/>
      </c>
      <c r="AX38" s="21" t="str">
        <f t="shared" si="48"/>
        <v/>
      </c>
      <c r="AY38" s="7" t="str">
        <f t="shared" si="35"/>
        <v/>
      </c>
      <c r="AZ38" s="7" t="str">
        <f t="shared" si="36"/>
        <v/>
      </c>
    </row>
    <row r="39" spans="1:52" ht="13.2">
      <c r="A39" s="7" t="str">
        <f>HIDDEN!H38</f>
        <v/>
      </c>
      <c r="B39" s="7" t="str">
        <f>IFERROR(MATCH(A39,'3)PACIENTES'!$A$2:$A$97,0),"")</f>
        <v/>
      </c>
      <c r="C39" s="24" t="str">
        <f>IFERROR(INDEX('3)PACIENTES'!D$2:D$97,SAMPLES!$B39),"")</f>
        <v/>
      </c>
      <c r="D39" s="24" t="str">
        <f>IFERROR(INDEX('3)PACIENTES'!B$2:B$97,SAMPLES!$B39),"")</f>
        <v/>
      </c>
      <c r="E39" s="24" t="str">
        <f>IFERROR(INDEX('3)PACIENTES'!$C$2:$C131,SAMPLES!$B39),"")</f>
        <v/>
      </c>
      <c r="F39" s="22">
        <f>'3)PACIENTES'!$F$2</f>
        <v>44039</v>
      </c>
      <c r="G39" s="13" t="str">
        <f>IFERROR(INDEX('3)PACIENTES'!E$2:E$97,SAMPLES!$B39),"")</f>
        <v/>
      </c>
      <c r="H39" s="17" t="str">
        <f t="shared" si="0"/>
        <v/>
      </c>
      <c r="I39" s="17" t="str">
        <f t="shared" si="20"/>
        <v/>
      </c>
      <c r="J39" s="32" t="str">
        <f t="array" ref="J39">IFERROR(INDEX('1)qPCR'!$E$2:$E$97,MATCH(INDEX(HIDDEN!$C$1:$C$96,SMALL(IF(HIDDEN!$B$1:$B$96=$A39&amp;";"&amp;J$1,ROW(HIDDEN!$B$1:$B$96)-ROW(INDEX(HIDDEN!$B$1:$B$96,1,1))+1),J$2)),'1)qPCR'!$A$2:$A$97,0)),"")</f>
        <v/>
      </c>
      <c r="K39" s="32" t="str">
        <f t="array" ref="K39">IFERROR(INDEX('1)qPCR'!$E$2:$E$97,MATCH(INDEX(HIDDEN!$C$1:$C$96,SMALL(IF(HIDDEN!$B$1:$B$96=$A39&amp;";"&amp;K$1,ROW(HIDDEN!$B$1:$B$96)-ROW(INDEX(HIDDEN!$B$1:$B$96,1,1))+1),K$2)),'1)qPCR'!$A$2:$A$97,0)),"")</f>
        <v/>
      </c>
      <c r="L39" s="32" t="str">
        <f t="array" ref="L39">IFERROR(INDEX('1)qPCR'!$E$2:$E$97,MATCH(INDEX(HIDDEN!$C$1:$C$96,SMALL(IF(HIDDEN!$B$1:$B$96=$A39&amp;";"&amp;L$1,ROW(HIDDEN!$B$1:$B$96)-ROW(INDEX(HIDDEN!$B$1:$B$96,1,1))+1),L$2)),'1)qPCR'!$A$2:$A$97,0)),"")</f>
        <v/>
      </c>
      <c r="M39" s="32" t="str">
        <f t="array" ref="M39">IFERROR(INDEX('1)qPCR'!$E$2:$E$97,MATCH(INDEX(HIDDEN!$C$1:$C$96,SMALL(IF(HIDDEN!$B$1:$B$96=$A39&amp;";"&amp;M$1,ROW(HIDDEN!$B$1:$B$96)-ROW(INDEX(HIDDEN!$B$1:$B$96,1,1))+1),M$2)),'1)qPCR'!$A$2:$A$97,0)),"")</f>
        <v/>
      </c>
      <c r="N39" s="32" t="str">
        <f t="array" ref="N39">IFERROR(INDEX('1)qPCR'!$E$2:$E$97,MATCH(INDEX(HIDDEN!$C$1:$C$96,SMALL(IF(HIDDEN!$B$1:$B$96=$A39&amp;";"&amp;N$1,ROW(HIDDEN!$B$1:$B$96)-ROW(INDEX(HIDDEN!$B$1:$B$96,1,1))+1),N$2)),'1)qPCR'!$A$2:$A$97,0)),"")</f>
        <v/>
      </c>
      <c r="O39" s="32" t="str">
        <f t="array" ref="O39">IFERROR(INDEX('1)qPCR'!$E$2:$E$97,MATCH(INDEX(HIDDEN!$C$1:$C$96,SMALL(IF(HIDDEN!$B$1:$B$96=$A39&amp;";"&amp;O$1,ROW(HIDDEN!$B$1:$B$96)-ROW(INDEX(HIDDEN!$B$1:$B$96,1,1))+1),O$2)),'1)qPCR'!$A$2:$A$97,0)),"")</f>
        <v/>
      </c>
      <c r="P39" s="7" t="str">
        <f t="shared" si="41"/>
        <v/>
      </c>
      <c r="Q39" s="18" t="str">
        <f t="shared" si="3"/>
        <v/>
      </c>
      <c r="R39" s="7" t="str">
        <f t="shared" si="42"/>
        <v/>
      </c>
      <c r="S39" s="18" t="str">
        <f t="shared" si="4"/>
        <v/>
      </c>
      <c r="T39" s="10" t="str">
        <f t="shared" si="21"/>
        <v/>
      </c>
      <c r="U39" s="10" t="str">
        <f t="shared" si="22"/>
        <v/>
      </c>
      <c r="V39" s="17" t="str">
        <f t="shared" si="23"/>
        <v/>
      </c>
      <c r="W39" s="17" t="str">
        <f t="shared" si="24"/>
        <v/>
      </c>
      <c r="X39" s="17" t="str">
        <f t="shared" si="37"/>
        <v/>
      </c>
      <c r="Y39" s="17" t="str">
        <f t="shared" si="38"/>
        <v/>
      </c>
      <c r="Z39" s="17" t="str">
        <f t="shared" si="6"/>
        <v/>
      </c>
      <c r="AA39" s="17" t="str">
        <f t="shared" si="7"/>
        <v/>
      </c>
      <c r="AB39" s="17" t="str">
        <f t="shared" si="39"/>
        <v/>
      </c>
      <c r="AC39" s="17" t="str">
        <f t="shared" si="40"/>
        <v/>
      </c>
      <c r="AD39" s="17" t="str">
        <f t="shared" si="10"/>
        <v/>
      </c>
      <c r="AE39" s="17" t="str">
        <f t="shared" si="11"/>
        <v/>
      </c>
      <c r="AF39" s="17" t="str">
        <f t="shared" si="12"/>
        <v/>
      </c>
      <c r="AG39" s="17">
        <f t="shared" si="26"/>
        <v>0</v>
      </c>
      <c r="AH39" s="17">
        <f t="shared" si="13"/>
        <v>0</v>
      </c>
      <c r="AI39" s="17">
        <f t="shared" si="27"/>
        <v>0</v>
      </c>
      <c r="AJ39" s="17" t="str">
        <f>IF(AP39="","",IF(AP39&lt;=RANGES!$A$8,1,IF(AP39&lt;=RANGES!$A$9,2,IF(AP39&lt;=RANGES!$A$10,3,IF(AP39&lt;=RANGES!$A$11,4,IF(AP39&lt;=RANGES!$A$12,5,IF(AP39&lt;=RANGES!$A$13,6,IF(AP39&lt;=RANGES!$A$14,7,8))))))))</f>
        <v/>
      </c>
      <c r="AK39" s="17" t="str">
        <f ca="1">IFERROR(INDEX(RANGES!$C$7:$H$7,1,IF(AO39&lt;=INDIRECT("RANGES!C"&amp;7+AJ39),1,IF(AO39&lt;=INDIRECT("RANGES!D"&amp;7+AJ39),2,IF(AO39&lt;=INDIRECT("RANGES!E"&amp;7+AJ39),3,IF(AO39&lt;=INDIRECT("RANGES!F"&amp;7+AJ39),4,IF(AO39&lt;=INDIRECT("RANGES!G"&amp;7+AJ39),5,6)))))),"")</f>
        <v/>
      </c>
      <c r="AL39" s="17">
        <f t="shared" si="43"/>
        <v>0</v>
      </c>
      <c r="AM39" s="17" t="str">
        <f t="shared" si="44"/>
        <v/>
      </c>
      <c r="AN39" s="17" t="str">
        <f t="shared" si="28"/>
        <v/>
      </c>
      <c r="AO39" s="17" t="str">
        <f t="shared" si="29"/>
        <v/>
      </c>
      <c r="AP39" s="17" t="str">
        <f t="shared" si="45"/>
        <v/>
      </c>
      <c r="AQ39" s="17" t="str">
        <f t="shared" si="30"/>
        <v/>
      </c>
      <c r="AR39" s="17" t="str">
        <f t="shared" si="31"/>
        <v/>
      </c>
      <c r="AS39" s="17" t="str">
        <f t="shared" si="32"/>
        <v/>
      </c>
      <c r="AT39" s="7" t="str">
        <f t="shared" si="46"/>
        <v/>
      </c>
      <c r="AU39" s="10" t="str">
        <f t="shared" si="33"/>
        <v/>
      </c>
      <c r="AV39" s="7" t="str">
        <f t="shared" si="47"/>
        <v/>
      </c>
      <c r="AW39" s="21" t="str">
        <f t="shared" si="34"/>
        <v/>
      </c>
      <c r="AX39" s="21" t="str">
        <f t="shared" si="48"/>
        <v/>
      </c>
      <c r="AY39" s="7" t="str">
        <f t="shared" si="35"/>
        <v/>
      </c>
      <c r="AZ39" s="7" t="str">
        <f t="shared" si="36"/>
        <v/>
      </c>
    </row>
    <row r="40" spans="1:52" ht="13.2">
      <c r="A40" s="7" t="str">
        <f>HIDDEN!H39</f>
        <v/>
      </c>
      <c r="B40" s="7" t="str">
        <f>IFERROR(MATCH(A40,'3)PACIENTES'!$A$2:$A$97,0),"")</f>
        <v/>
      </c>
      <c r="C40" s="24" t="str">
        <f>IFERROR(INDEX('3)PACIENTES'!D$2:D$97,SAMPLES!$B40),"")</f>
        <v/>
      </c>
      <c r="D40" s="24" t="str">
        <f>IFERROR(INDEX('3)PACIENTES'!B$2:B$97,SAMPLES!$B40),"")</f>
        <v/>
      </c>
      <c r="E40" s="24" t="str">
        <f>IFERROR(INDEX('3)PACIENTES'!$C$2:$C132,SAMPLES!$B40),"")</f>
        <v/>
      </c>
      <c r="F40" s="22">
        <f>'3)PACIENTES'!$F$2</f>
        <v>44039</v>
      </c>
      <c r="G40" s="13" t="str">
        <f>IFERROR(INDEX('3)PACIENTES'!E$2:E$97,SAMPLES!$B40),"")</f>
        <v/>
      </c>
      <c r="H40" s="17" t="str">
        <f t="shared" si="0"/>
        <v/>
      </c>
      <c r="I40" s="17" t="str">
        <f t="shared" si="20"/>
        <v/>
      </c>
      <c r="J40" s="32" t="str">
        <f t="array" ref="J40">IFERROR(INDEX('1)qPCR'!$E$2:$E$97,MATCH(INDEX(HIDDEN!$C$1:$C$96,SMALL(IF(HIDDEN!$B$1:$B$96=$A40&amp;";"&amp;J$1,ROW(HIDDEN!$B$1:$B$96)-ROW(INDEX(HIDDEN!$B$1:$B$96,1,1))+1),J$2)),'1)qPCR'!$A$2:$A$97,0)),"")</f>
        <v/>
      </c>
      <c r="K40" s="32" t="str">
        <f t="array" ref="K40">IFERROR(INDEX('1)qPCR'!$E$2:$E$97,MATCH(INDEX(HIDDEN!$C$1:$C$96,SMALL(IF(HIDDEN!$B$1:$B$96=$A40&amp;";"&amp;K$1,ROW(HIDDEN!$B$1:$B$96)-ROW(INDEX(HIDDEN!$B$1:$B$96,1,1))+1),K$2)),'1)qPCR'!$A$2:$A$97,0)),"")</f>
        <v/>
      </c>
      <c r="L40" s="32" t="str">
        <f t="array" ref="L40">IFERROR(INDEX('1)qPCR'!$E$2:$E$97,MATCH(INDEX(HIDDEN!$C$1:$C$96,SMALL(IF(HIDDEN!$B$1:$B$96=$A40&amp;";"&amp;L$1,ROW(HIDDEN!$B$1:$B$96)-ROW(INDEX(HIDDEN!$B$1:$B$96,1,1))+1),L$2)),'1)qPCR'!$A$2:$A$97,0)),"")</f>
        <v/>
      </c>
      <c r="M40" s="32" t="str">
        <f t="array" ref="M40">IFERROR(INDEX('1)qPCR'!$E$2:$E$97,MATCH(INDEX(HIDDEN!$C$1:$C$96,SMALL(IF(HIDDEN!$B$1:$B$96=$A40&amp;";"&amp;M$1,ROW(HIDDEN!$B$1:$B$96)-ROW(INDEX(HIDDEN!$B$1:$B$96,1,1))+1),M$2)),'1)qPCR'!$A$2:$A$97,0)),"")</f>
        <v/>
      </c>
      <c r="N40" s="32" t="str">
        <f t="array" ref="N40">IFERROR(INDEX('1)qPCR'!$E$2:$E$97,MATCH(INDEX(HIDDEN!$C$1:$C$96,SMALL(IF(HIDDEN!$B$1:$B$96=$A40&amp;";"&amp;N$1,ROW(HIDDEN!$B$1:$B$96)-ROW(INDEX(HIDDEN!$B$1:$B$96,1,1))+1),N$2)),'1)qPCR'!$A$2:$A$97,0)),"")</f>
        <v/>
      </c>
      <c r="O40" s="32" t="str">
        <f t="array" ref="O40">IFERROR(INDEX('1)qPCR'!$E$2:$E$97,MATCH(INDEX(HIDDEN!$C$1:$C$96,SMALL(IF(HIDDEN!$B$1:$B$96=$A40&amp;";"&amp;O$1,ROW(HIDDEN!$B$1:$B$96)-ROW(INDEX(HIDDEN!$B$1:$B$96,1,1))+1),O$2)),'1)qPCR'!$A$2:$A$97,0)),"")</f>
        <v/>
      </c>
      <c r="P40" s="7" t="str">
        <f t="shared" si="41"/>
        <v/>
      </c>
      <c r="Q40" s="18" t="str">
        <f t="shared" si="3"/>
        <v/>
      </c>
      <c r="R40" s="7" t="str">
        <f t="shared" si="42"/>
        <v/>
      </c>
      <c r="S40" s="18" t="str">
        <f t="shared" si="4"/>
        <v/>
      </c>
      <c r="T40" s="10" t="str">
        <f t="shared" si="21"/>
        <v/>
      </c>
      <c r="U40" s="10" t="str">
        <f t="shared" si="22"/>
        <v/>
      </c>
      <c r="V40" s="17" t="str">
        <f t="shared" si="23"/>
        <v/>
      </c>
      <c r="W40" s="17" t="str">
        <f t="shared" si="24"/>
        <v/>
      </c>
      <c r="X40" s="17" t="str">
        <f t="shared" si="37"/>
        <v/>
      </c>
      <c r="Y40" s="17" t="str">
        <f t="shared" si="38"/>
        <v/>
      </c>
      <c r="Z40" s="17" t="str">
        <f t="shared" si="6"/>
        <v/>
      </c>
      <c r="AA40" s="17" t="str">
        <f t="shared" si="7"/>
        <v/>
      </c>
      <c r="AB40" s="17" t="str">
        <f t="shared" si="39"/>
        <v/>
      </c>
      <c r="AC40" s="17" t="str">
        <f t="shared" si="40"/>
        <v/>
      </c>
      <c r="AD40" s="17" t="str">
        <f t="shared" si="10"/>
        <v/>
      </c>
      <c r="AE40" s="17" t="str">
        <f t="shared" si="11"/>
        <v/>
      </c>
      <c r="AF40" s="17" t="str">
        <f t="shared" si="12"/>
        <v/>
      </c>
      <c r="AG40" s="17">
        <f t="shared" si="26"/>
        <v>0</v>
      </c>
      <c r="AH40" s="17">
        <f t="shared" si="13"/>
        <v>0</v>
      </c>
      <c r="AI40" s="17">
        <f t="shared" si="27"/>
        <v>0</v>
      </c>
      <c r="AJ40" s="17" t="str">
        <f>IF(AP40="","",IF(AP40&lt;=RANGES!$A$8,1,IF(AP40&lt;=RANGES!$A$9,2,IF(AP40&lt;=RANGES!$A$10,3,IF(AP40&lt;=RANGES!$A$11,4,IF(AP40&lt;=RANGES!$A$12,5,IF(AP40&lt;=RANGES!$A$13,6,IF(AP40&lt;=RANGES!$A$14,7,8))))))))</f>
        <v/>
      </c>
      <c r="AK40" s="17" t="str">
        <f ca="1">IFERROR(INDEX(RANGES!$C$7:$H$7,1,IF(AO40&lt;=INDIRECT("RANGES!C"&amp;7+AJ40),1,IF(AO40&lt;=INDIRECT("RANGES!D"&amp;7+AJ40),2,IF(AO40&lt;=INDIRECT("RANGES!E"&amp;7+AJ40),3,IF(AO40&lt;=INDIRECT("RANGES!F"&amp;7+AJ40),4,IF(AO40&lt;=INDIRECT("RANGES!G"&amp;7+AJ40),5,6)))))),"")</f>
        <v/>
      </c>
      <c r="AL40" s="17">
        <f t="shared" si="43"/>
        <v>0</v>
      </c>
      <c r="AM40" s="17" t="str">
        <f t="shared" si="44"/>
        <v/>
      </c>
      <c r="AN40" s="17" t="str">
        <f t="shared" si="28"/>
        <v/>
      </c>
      <c r="AO40" s="17" t="str">
        <f t="shared" si="29"/>
        <v/>
      </c>
      <c r="AP40" s="17" t="str">
        <f t="shared" si="45"/>
        <v/>
      </c>
      <c r="AQ40" s="17" t="str">
        <f t="shared" si="30"/>
        <v/>
      </c>
      <c r="AR40" s="17" t="str">
        <f t="shared" si="31"/>
        <v/>
      </c>
      <c r="AS40" s="17" t="str">
        <f t="shared" si="32"/>
        <v/>
      </c>
      <c r="AT40" s="7" t="str">
        <f t="shared" si="46"/>
        <v/>
      </c>
      <c r="AU40" s="10" t="str">
        <f t="shared" si="33"/>
        <v/>
      </c>
      <c r="AV40" s="7" t="str">
        <f t="shared" si="47"/>
        <v/>
      </c>
      <c r="AW40" s="21" t="str">
        <f t="shared" si="34"/>
        <v/>
      </c>
      <c r="AX40" s="21" t="str">
        <f t="shared" si="48"/>
        <v/>
      </c>
      <c r="AY40" s="7" t="str">
        <f t="shared" si="35"/>
        <v/>
      </c>
      <c r="AZ40" s="7" t="str">
        <f t="shared" si="36"/>
        <v/>
      </c>
    </row>
    <row r="41" spans="1:52" ht="13.2">
      <c r="A41" s="7" t="str">
        <f>HIDDEN!H40</f>
        <v/>
      </c>
      <c r="B41" s="7" t="str">
        <f>IFERROR(MATCH(A41,'3)PACIENTES'!$A$2:$A$97,0),"")</f>
        <v/>
      </c>
      <c r="C41" s="24" t="str">
        <f>IFERROR(INDEX('3)PACIENTES'!D$2:D$97,SAMPLES!$B41),"")</f>
        <v/>
      </c>
      <c r="D41" s="24" t="str">
        <f>IFERROR(INDEX('3)PACIENTES'!B$2:B$97,SAMPLES!$B41),"")</f>
        <v/>
      </c>
      <c r="E41" s="24" t="str">
        <f>IFERROR(INDEX('3)PACIENTES'!$C$2:$C133,SAMPLES!$B41),"")</f>
        <v/>
      </c>
      <c r="F41" s="22">
        <f>'3)PACIENTES'!$F$2</f>
        <v>44039</v>
      </c>
      <c r="G41" s="13" t="str">
        <f>IFERROR(INDEX('3)PACIENTES'!E$2:E$97,SAMPLES!$B41),"")</f>
        <v/>
      </c>
      <c r="H41" s="17" t="str">
        <f t="shared" si="0"/>
        <v/>
      </c>
      <c r="I41" s="17" t="str">
        <f t="shared" si="20"/>
        <v/>
      </c>
      <c r="J41" s="32" t="str">
        <f t="array" ref="J41">IFERROR(INDEX('1)qPCR'!$E$2:$E$97,MATCH(INDEX(HIDDEN!$C$1:$C$96,SMALL(IF(HIDDEN!$B$1:$B$96=$A41&amp;";"&amp;J$1,ROW(HIDDEN!$B$1:$B$96)-ROW(INDEX(HIDDEN!$B$1:$B$96,1,1))+1),J$2)),'1)qPCR'!$A$2:$A$97,0)),"")</f>
        <v/>
      </c>
      <c r="K41" s="32" t="str">
        <f t="array" ref="K41">IFERROR(INDEX('1)qPCR'!$E$2:$E$97,MATCH(INDEX(HIDDEN!$C$1:$C$96,SMALL(IF(HIDDEN!$B$1:$B$96=$A41&amp;";"&amp;K$1,ROW(HIDDEN!$B$1:$B$96)-ROW(INDEX(HIDDEN!$B$1:$B$96,1,1))+1),K$2)),'1)qPCR'!$A$2:$A$97,0)),"")</f>
        <v/>
      </c>
      <c r="L41" s="32" t="str">
        <f t="array" ref="L41">IFERROR(INDEX('1)qPCR'!$E$2:$E$97,MATCH(INDEX(HIDDEN!$C$1:$C$96,SMALL(IF(HIDDEN!$B$1:$B$96=$A41&amp;";"&amp;L$1,ROW(HIDDEN!$B$1:$B$96)-ROW(INDEX(HIDDEN!$B$1:$B$96,1,1))+1),L$2)),'1)qPCR'!$A$2:$A$97,0)),"")</f>
        <v/>
      </c>
      <c r="M41" s="32" t="str">
        <f t="array" ref="M41">IFERROR(INDEX('1)qPCR'!$E$2:$E$97,MATCH(INDEX(HIDDEN!$C$1:$C$96,SMALL(IF(HIDDEN!$B$1:$B$96=$A41&amp;";"&amp;M$1,ROW(HIDDEN!$B$1:$B$96)-ROW(INDEX(HIDDEN!$B$1:$B$96,1,1))+1),M$2)),'1)qPCR'!$A$2:$A$97,0)),"")</f>
        <v/>
      </c>
      <c r="N41" s="32" t="str">
        <f t="array" ref="N41">IFERROR(INDEX('1)qPCR'!$E$2:$E$97,MATCH(INDEX(HIDDEN!$C$1:$C$96,SMALL(IF(HIDDEN!$B$1:$B$96=$A41&amp;";"&amp;N$1,ROW(HIDDEN!$B$1:$B$96)-ROW(INDEX(HIDDEN!$B$1:$B$96,1,1))+1),N$2)),'1)qPCR'!$A$2:$A$97,0)),"")</f>
        <v/>
      </c>
      <c r="O41" s="32" t="str">
        <f t="array" ref="O41">IFERROR(INDEX('1)qPCR'!$E$2:$E$97,MATCH(INDEX(HIDDEN!$C$1:$C$96,SMALL(IF(HIDDEN!$B$1:$B$96=$A41&amp;";"&amp;O$1,ROW(HIDDEN!$B$1:$B$96)-ROW(INDEX(HIDDEN!$B$1:$B$96,1,1))+1),O$2)),'1)qPCR'!$A$2:$A$97,0)),"")</f>
        <v/>
      </c>
      <c r="P41" s="7" t="str">
        <f t="shared" si="41"/>
        <v/>
      </c>
      <c r="Q41" s="18" t="str">
        <f t="shared" si="3"/>
        <v/>
      </c>
      <c r="R41" s="7" t="str">
        <f t="shared" si="42"/>
        <v/>
      </c>
      <c r="S41" s="18" t="str">
        <f t="shared" si="4"/>
        <v/>
      </c>
      <c r="T41" s="10" t="str">
        <f t="shared" si="21"/>
        <v/>
      </c>
      <c r="U41" s="10" t="str">
        <f t="shared" si="22"/>
        <v/>
      </c>
      <c r="V41" s="17" t="str">
        <f t="shared" si="23"/>
        <v/>
      </c>
      <c r="W41" s="17" t="str">
        <f t="shared" si="24"/>
        <v/>
      </c>
      <c r="X41" s="17" t="str">
        <f t="shared" si="37"/>
        <v/>
      </c>
      <c r="Y41" s="17" t="str">
        <f t="shared" si="38"/>
        <v/>
      </c>
      <c r="Z41" s="17" t="str">
        <f t="shared" si="6"/>
        <v/>
      </c>
      <c r="AA41" s="17" t="str">
        <f t="shared" si="7"/>
        <v/>
      </c>
      <c r="AB41" s="17" t="str">
        <f t="shared" si="39"/>
        <v/>
      </c>
      <c r="AC41" s="17" t="str">
        <f t="shared" si="40"/>
        <v/>
      </c>
      <c r="AD41" s="17" t="str">
        <f t="shared" si="10"/>
        <v/>
      </c>
      <c r="AE41" s="17" t="str">
        <f t="shared" si="11"/>
        <v/>
      </c>
      <c r="AF41" s="17" t="str">
        <f t="shared" si="12"/>
        <v/>
      </c>
      <c r="AG41" s="17">
        <f t="shared" si="26"/>
        <v>0</v>
      </c>
      <c r="AH41" s="17">
        <f t="shared" si="13"/>
        <v>0</v>
      </c>
      <c r="AI41" s="17">
        <f t="shared" si="27"/>
        <v>0</v>
      </c>
      <c r="AJ41" s="17" t="str">
        <f>IF(AP41="","",IF(AP41&lt;=RANGES!$A$8,1,IF(AP41&lt;=RANGES!$A$9,2,IF(AP41&lt;=RANGES!$A$10,3,IF(AP41&lt;=RANGES!$A$11,4,IF(AP41&lt;=RANGES!$A$12,5,IF(AP41&lt;=RANGES!$A$13,6,IF(AP41&lt;=RANGES!$A$14,7,8))))))))</f>
        <v/>
      </c>
      <c r="AK41" s="17" t="str">
        <f ca="1">IFERROR(INDEX(RANGES!$C$7:$H$7,1,IF(AO41&lt;=INDIRECT("RANGES!C"&amp;7+AJ41),1,IF(AO41&lt;=INDIRECT("RANGES!D"&amp;7+AJ41),2,IF(AO41&lt;=INDIRECT("RANGES!E"&amp;7+AJ41),3,IF(AO41&lt;=INDIRECT("RANGES!F"&amp;7+AJ41),4,IF(AO41&lt;=INDIRECT("RANGES!G"&amp;7+AJ41),5,6)))))),"")</f>
        <v/>
      </c>
      <c r="AL41" s="17">
        <f t="shared" si="43"/>
        <v>0</v>
      </c>
      <c r="AM41" s="17" t="str">
        <f t="shared" si="44"/>
        <v/>
      </c>
      <c r="AN41" s="17" t="str">
        <f t="shared" si="28"/>
        <v/>
      </c>
      <c r="AO41" s="17" t="str">
        <f t="shared" si="29"/>
        <v/>
      </c>
      <c r="AP41" s="17" t="str">
        <f t="shared" si="45"/>
        <v/>
      </c>
      <c r="AQ41" s="17" t="str">
        <f t="shared" si="30"/>
        <v/>
      </c>
      <c r="AR41" s="17" t="str">
        <f t="shared" si="31"/>
        <v/>
      </c>
      <c r="AS41" s="17" t="str">
        <f t="shared" si="32"/>
        <v/>
      </c>
      <c r="AT41" s="7" t="str">
        <f t="shared" si="46"/>
        <v/>
      </c>
      <c r="AU41" s="10" t="str">
        <f t="shared" si="33"/>
        <v/>
      </c>
      <c r="AV41" s="7" t="str">
        <f t="shared" si="47"/>
        <v/>
      </c>
      <c r="AW41" s="21" t="str">
        <f t="shared" si="34"/>
        <v/>
      </c>
      <c r="AX41" s="21" t="str">
        <f t="shared" si="48"/>
        <v/>
      </c>
      <c r="AY41" s="7" t="str">
        <f t="shared" si="35"/>
        <v/>
      </c>
      <c r="AZ41" s="7" t="str">
        <f t="shared" si="36"/>
        <v/>
      </c>
    </row>
    <row r="42" spans="1:52" ht="13.2">
      <c r="A42" s="7" t="str">
        <f>HIDDEN!H41</f>
        <v/>
      </c>
      <c r="B42" s="7" t="str">
        <f>IFERROR(MATCH(A42,'3)PACIENTES'!$A$2:$A$97,0),"")</f>
        <v/>
      </c>
      <c r="C42" s="24" t="str">
        <f>IFERROR(INDEX('3)PACIENTES'!D$2:D$97,SAMPLES!$B42),"")</f>
        <v/>
      </c>
      <c r="D42" s="24" t="str">
        <f>IFERROR(INDEX('3)PACIENTES'!B$2:B$97,SAMPLES!$B42),"")</f>
        <v/>
      </c>
      <c r="E42" s="24" t="str">
        <f>IFERROR(INDEX('3)PACIENTES'!$C$2:$C134,SAMPLES!$B42),"")</f>
        <v/>
      </c>
      <c r="F42" s="22">
        <f>'3)PACIENTES'!$F$2</f>
        <v>44039</v>
      </c>
      <c r="G42" s="13" t="str">
        <f>IFERROR(INDEX('3)PACIENTES'!E$2:E$97,SAMPLES!$B42),"")</f>
        <v/>
      </c>
      <c r="H42" s="17" t="str">
        <f t="shared" si="0"/>
        <v/>
      </c>
      <c r="I42" s="17" t="str">
        <f t="shared" si="20"/>
        <v/>
      </c>
      <c r="J42" s="32" t="str">
        <f t="array" ref="J42">IFERROR(INDEX('1)qPCR'!$E$2:$E$97,MATCH(INDEX(HIDDEN!$C$1:$C$96,SMALL(IF(HIDDEN!$B$1:$B$96=$A42&amp;";"&amp;J$1,ROW(HIDDEN!$B$1:$B$96)-ROW(INDEX(HIDDEN!$B$1:$B$96,1,1))+1),J$2)),'1)qPCR'!$A$2:$A$97,0)),"")</f>
        <v/>
      </c>
      <c r="K42" s="32" t="str">
        <f t="array" ref="K42">IFERROR(INDEX('1)qPCR'!$E$2:$E$97,MATCH(INDEX(HIDDEN!$C$1:$C$96,SMALL(IF(HIDDEN!$B$1:$B$96=$A42&amp;";"&amp;K$1,ROW(HIDDEN!$B$1:$B$96)-ROW(INDEX(HIDDEN!$B$1:$B$96,1,1))+1),K$2)),'1)qPCR'!$A$2:$A$97,0)),"")</f>
        <v/>
      </c>
      <c r="L42" s="32" t="str">
        <f t="array" ref="L42">IFERROR(INDEX('1)qPCR'!$E$2:$E$97,MATCH(INDEX(HIDDEN!$C$1:$C$96,SMALL(IF(HIDDEN!$B$1:$B$96=$A42&amp;";"&amp;L$1,ROW(HIDDEN!$B$1:$B$96)-ROW(INDEX(HIDDEN!$B$1:$B$96,1,1))+1),L$2)),'1)qPCR'!$A$2:$A$97,0)),"")</f>
        <v/>
      </c>
      <c r="M42" s="32" t="str">
        <f t="array" ref="M42">IFERROR(INDEX('1)qPCR'!$E$2:$E$97,MATCH(INDEX(HIDDEN!$C$1:$C$96,SMALL(IF(HIDDEN!$B$1:$B$96=$A42&amp;";"&amp;M$1,ROW(HIDDEN!$B$1:$B$96)-ROW(INDEX(HIDDEN!$B$1:$B$96,1,1))+1),M$2)),'1)qPCR'!$A$2:$A$97,0)),"")</f>
        <v/>
      </c>
      <c r="N42" s="32" t="str">
        <f t="array" ref="N42">IFERROR(INDEX('1)qPCR'!$E$2:$E$97,MATCH(INDEX(HIDDEN!$C$1:$C$96,SMALL(IF(HIDDEN!$B$1:$B$96=$A42&amp;";"&amp;N$1,ROW(HIDDEN!$B$1:$B$96)-ROW(INDEX(HIDDEN!$B$1:$B$96,1,1))+1),N$2)),'1)qPCR'!$A$2:$A$97,0)),"")</f>
        <v/>
      </c>
      <c r="O42" s="32" t="str">
        <f t="array" ref="O42">IFERROR(INDEX('1)qPCR'!$E$2:$E$97,MATCH(INDEX(HIDDEN!$C$1:$C$96,SMALL(IF(HIDDEN!$B$1:$B$96=$A42&amp;";"&amp;O$1,ROW(HIDDEN!$B$1:$B$96)-ROW(INDEX(HIDDEN!$B$1:$B$96,1,1))+1),O$2)),'1)qPCR'!$A$2:$A$97,0)),"")</f>
        <v/>
      </c>
      <c r="P42" s="7" t="str">
        <f t="shared" si="41"/>
        <v/>
      </c>
      <c r="Q42" s="18" t="str">
        <f t="shared" si="3"/>
        <v/>
      </c>
      <c r="R42" s="7" t="str">
        <f t="shared" si="42"/>
        <v/>
      </c>
      <c r="S42" s="18" t="str">
        <f t="shared" si="4"/>
        <v/>
      </c>
      <c r="T42" s="10" t="str">
        <f t="shared" si="21"/>
        <v/>
      </c>
      <c r="U42" s="10" t="str">
        <f t="shared" si="22"/>
        <v/>
      </c>
      <c r="V42" s="17" t="str">
        <f t="shared" si="23"/>
        <v/>
      </c>
      <c r="W42" s="17" t="str">
        <f t="shared" si="24"/>
        <v/>
      </c>
      <c r="X42" s="17" t="str">
        <f t="shared" si="37"/>
        <v/>
      </c>
      <c r="Y42" s="17" t="str">
        <f t="shared" si="38"/>
        <v/>
      </c>
      <c r="Z42" s="17" t="str">
        <f t="shared" si="6"/>
        <v/>
      </c>
      <c r="AA42" s="17" t="str">
        <f t="shared" si="7"/>
        <v/>
      </c>
      <c r="AB42" s="17" t="str">
        <f t="shared" si="39"/>
        <v/>
      </c>
      <c r="AC42" s="17" t="str">
        <f t="shared" si="40"/>
        <v/>
      </c>
      <c r="AD42" s="17" t="str">
        <f t="shared" si="10"/>
        <v/>
      </c>
      <c r="AE42" s="17" t="str">
        <f t="shared" si="11"/>
        <v/>
      </c>
      <c r="AF42" s="17" t="str">
        <f t="shared" si="12"/>
        <v/>
      </c>
      <c r="AG42" s="17">
        <f t="shared" si="26"/>
        <v>0</v>
      </c>
      <c r="AH42" s="17">
        <f t="shared" si="13"/>
        <v>0</v>
      </c>
      <c r="AI42" s="17">
        <f t="shared" si="27"/>
        <v>0</v>
      </c>
      <c r="AJ42" s="17" t="str">
        <f>IF(AP42="","",IF(AP42&lt;=RANGES!$A$8,1,IF(AP42&lt;=RANGES!$A$9,2,IF(AP42&lt;=RANGES!$A$10,3,IF(AP42&lt;=RANGES!$A$11,4,IF(AP42&lt;=RANGES!$A$12,5,IF(AP42&lt;=RANGES!$A$13,6,IF(AP42&lt;=RANGES!$A$14,7,8))))))))</f>
        <v/>
      </c>
      <c r="AK42" s="17" t="str">
        <f ca="1">IFERROR(INDEX(RANGES!$C$7:$H$7,1,IF(AO42&lt;=INDIRECT("RANGES!C"&amp;7+AJ42),1,IF(AO42&lt;=INDIRECT("RANGES!D"&amp;7+AJ42),2,IF(AO42&lt;=INDIRECT("RANGES!E"&amp;7+AJ42),3,IF(AO42&lt;=INDIRECT("RANGES!F"&amp;7+AJ42),4,IF(AO42&lt;=INDIRECT("RANGES!G"&amp;7+AJ42),5,6)))))),"")</f>
        <v/>
      </c>
      <c r="AL42" s="17">
        <f t="shared" si="43"/>
        <v>0</v>
      </c>
      <c r="AM42" s="17" t="str">
        <f t="shared" si="44"/>
        <v/>
      </c>
      <c r="AN42" s="17" t="str">
        <f t="shared" si="28"/>
        <v/>
      </c>
      <c r="AO42" s="17" t="str">
        <f t="shared" si="29"/>
        <v/>
      </c>
      <c r="AP42" s="17" t="str">
        <f t="shared" si="45"/>
        <v/>
      </c>
      <c r="AQ42" s="17" t="str">
        <f t="shared" si="30"/>
        <v/>
      </c>
      <c r="AR42" s="17" t="str">
        <f t="shared" si="31"/>
        <v/>
      </c>
      <c r="AS42" s="17" t="str">
        <f t="shared" si="32"/>
        <v/>
      </c>
      <c r="AT42" s="7" t="str">
        <f t="shared" si="46"/>
        <v/>
      </c>
      <c r="AU42" s="10" t="str">
        <f t="shared" si="33"/>
        <v/>
      </c>
      <c r="AV42" s="7" t="str">
        <f t="shared" si="47"/>
        <v/>
      </c>
      <c r="AW42" s="21" t="str">
        <f t="shared" si="34"/>
        <v/>
      </c>
      <c r="AX42" s="21" t="str">
        <f t="shared" si="48"/>
        <v/>
      </c>
      <c r="AY42" s="7" t="str">
        <f t="shared" si="35"/>
        <v/>
      </c>
      <c r="AZ42" s="7" t="str">
        <f t="shared" si="36"/>
        <v/>
      </c>
    </row>
    <row r="43" spans="1:52" ht="13.2">
      <c r="A43" s="7" t="str">
        <f>HIDDEN!H42</f>
        <v/>
      </c>
      <c r="B43" s="7" t="str">
        <f>IFERROR(MATCH(A43,'3)PACIENTES'!$A$2:$A$97,0),"")</f>
        <v/>
      </c>
      <c r="C43" s="24" t="str">
        <f>IFERROR(INDEX('3)PACIENTES'!D$2:D$97,SAMPLES!$B43),"")</f>
        <v/>
      </c>
      <c r="D43" s="24" t="str">
        <f>IFERROR(INDEX('3)PACIENTES'!B$2:B$97,SAMPLES!$B43),"")</f>
        <v/>
      </c>
      <c r="E43" s="24" t="str">
        <f>IFERROR(INDEX('3)PACIENTES'!$C$2:$C135,SAMPLES!$B43),"")</f>
        <v/>
      </c>
      <c r="F43" s="22">
        <f>'3)PACIENTES'!$F$2</f>
        <v>44039</v>
      </c>
      <c r="G43" s="13" t="str">
        <f>IFERROR(INDEX('3)PACIENTES'!E$2:E$97,SAMPLES!$B43),"")</f>
        <v/>
      </c>
      <c r="H43" s="17" t="str">
        <f t="shared" si="0"/>
        <v/>
      </c>
      <c r="I43" s="17" t="str">
        <f t="shared" si="20"/>
        <v/>
      </c>
      <c r="J43" s="32" t="str">
        <f t="array" ref="J43">IFERROR(INDEX('1)qPCR'!$E$2:$E$97,MATCH(INDEX(HIDDEN!$C$1:$C$96,SMALL(IF(HIDDEN!$B$1:$B$96=$A43&amp;";"&amp;J$1,ROW(HIDDEN!$B$1:$B$96)-ROW(INDEX(HIDDEN!$B$1:$B$96,1,1))+1),J$2)),'1)qPCR'!$A$2:$A$97,0)),"")</f>
        <v/>
      </c>
      <c r="K43" s="32" t="str">
        <f t="array" ref="K43">IFERROR(INDEX('1)qPCR'!$E$2:$E$97,MATCH(INDEX(HIDDEN!$C$1:$C$96,SMALL(IF(HIDDEN!$B$1:$B$96=$A43&amp;";"&amp;K$1,ROW(HIDDEN!$B$1:$B$96)-ROW(INDEX(HIDDEN!$B$1:$B$96,1,1))+1),K$2)),'1)qPCR'!$A$2:$A$97,0)),"")</f>
        <v/>
      </c>
      <c r="L43" s="32" t="str">
        <f t="array" ref="L43">IFERROR(INDEX('1)qPCR'!$E$2:$E$97,MATCH(INDEX(HIDDEN!$C$1:$C$96,SMALL(IF(HIDDEN!$B$1:$B$96=$A43&amp;";"&amp;L$1,ROW(HIDDEN!$B$1:$B$96)-ROW(INDEX(HIDDEN!$B$1:$B$96,1,1))+1),L$2)),'1)qPCR'!$A$2:$A$97,0)),"")</f>
        <v/>
      </c>
      <c r="M43" s="32" t="str">
        <f t="array" ref="M43">IFERROR(INDEX('1)qPCR'!$E$2:$E$97,MATCH(INDEX(HIDDEN!$C$1:$C$96,SMALL(IF(HIDDEN!$B$1:$B$96=$A43&amp;";"&amp;M$1,ROW(HIDDEN!$B$1:$B$96)-ROW(INDEX(HIDDEN!$B$1:$B$96,1,1))+1),M$2)),'1)qPCR'!$A$2:$A$97,0)),"")</f>
        <v/>
      </c>
      <c r="N43" s="32" t="str">
        <f t="array" ref="N43">IFERROR(INDEX('1)qPCR'!$E$2:$E$97,MATCH(INDEX(HIDDEN!$C$1:$C$96,SMALL(IF(HIDDEN!$B$1:$B$96=$A43&amp;";"&amp;N$1,ROW(HIDDEN!$B$1:$B$96)-ROW(INDEX(HIDDEN!$B$1:$B$96,1,1))+1),N$2)),'1)qPCR'!$A$2:$A$97,0)),"")</f>
        <v/>
      </c>
      <c r="O43" s="32" t="str">
        <f t="array" ref="O43">IFERROR(INDEX('1)qPCR'!$E$2:$E$97,MATCH(INDEX(HIDDEN!$C$1:$C$96,SMALL(IF(HIDDEN!$B$1:$B$96=$A43&amp;";"&amp;O$1,ROW(HIDDEN!$B$1:$B$96)-ROW(INDEX(HIDDEN!$B$1:$B$96,1,1))+1),O$2)),'1)qPCR'!$A$2:$A$97,0)),"")</f>
        <v/>
      </c>
      <c r="P43" s="7" t="str">
        <f t="shared" si="41"/>
        <v/>
      </c>
      <c r="Q43" s="18" t="str">
        <f t="shared" si="3"/>
        <v/>
      </c>
      <c r="R43" s="7" t="str">
        <f t="shared" si="42"/>
        <v/>
      </c>
      <c r="S43" s="18" t="str">
        <f t="shared" si="4"/>
        <v/>
      </c>
      <c r="T43" s="10" t="str">
        <f t="shared" si="21"/>
        <v/>
      </c>
      <c r="U43" s="10" t="str">
        <f t="shared" si="22"/>
        <v/>
      </c>
      <c r="V43" s="17" t="str">
        <f t="shared" si="23"/>
        <v/>
      </c>
      <c r="W43" s="17" t="str">
        <f t="shared" si="24"/>
        <v/>
      </c>
      <c r="X43" s="17" t="str">
        <f t="shared" si="37"/>
        <v/>
      </c>
      <c r="Y43" s="17" t="str">
        <f t="shared" si="38"/>
        <v/>
      </c>
      <c r="Z43" s="17" t="str">
        <f t="shared" si="6"/>
        <v/>
      </c>
      <c r="AA43" s="17" t="str">
        <f t="shared" si="7"/>
        <v/>
      </c>
      <c r="AB43" s="17" t="str">
        <f t="shared" si="39"/>
        <v/>
      </c>
      <c r="AC43" s="17" t="str">
        <f t="shared" si="40"/>
        <v/>
      </c>
      <c r="AD43" s="17" t="str">
        <f t="shared" si="10"/>
        <v/>
      </c>
      <c r="AE43" s="17" t="str">
        <f t="shared" si="11"/>
        <v/>
      </c>
      <c r="AF43" s="17" t="str">
        <f t="shared" si="12"/>
        <v/>
      </c>
      <c r="AG43" s="17">
        <f t="shared" si="26"/>
        <v>0</v>
      </c>
      <c r="AH43" s="17">
        <f t="shared" si="13"/>
        <v>0</v>
      </c>
      <c r="AI43" s="17">
        <f t="shared" si="27"/>
        <v>0</v>
      </c>
      <c r="AJ43" s="17" t="str">
        <f>IF(AP43="","",IF(AP43&lt;=RANGES!$A$8,1,IF(AP43&lt;=RANGES!$A$9,2,IF(AP43&lt;=RANGES!$A$10,3,IF(AP43&lt;=RANGES!$A$11,4,IF(AP43&lt;=RANGES!$A$12,5,IF(AP43&lt;=RANGES!$A$13,6,IF(AP43&lt;=RANGES!$A$14,7,8))))))))</f>
        <v/>
      </c>
      <c r="AK43" s="17" t="str">
        <f ca="1">IFERROR(INDEX(RANGES!$C$7:$H$7,1,IF(AO43&lt;=INDIRECT("RANGES!C"&amp;7+AJ43),1,IF(AO43&lt;=INDIRECT("RANGES!D"&amp;7+AJ43),2,IF(AO43&lt;=INDIRECT("RANGES!E"&amp;7+AJ43),3,IF(AO43&lt;=INDIRECT("RANGES!F"&amp;7+AJ43),4,IF(AO43&lt;=INDIRECT("RANGES!G"&amp;7+AJ43),5,6)))))),"")</f>
        <v/>
      </c>
      <c r="AL43" s="17">
        <f t="shared" si="43"/>
        <v>0</v>
      </c>
      <c r="AM43" s="17" t="str">
        <f t="shared" si="44"/>
        <v/>
      </c>
      <c r="AN43" s="17" t="str">
        <f t="shared" si="28"/>
        <v/>
      </c>
      <c r="AO43" s="17" t="str">
        <f t="shared" si="29"/>
        <v/>
      </c>
      <c r="AP43" s="17" t="str">
        <f t="shared" si="45"/>
        <v/>
      </c>
      <c r="AQ43" s="17" t="str">
        <f t="shared" si="30"/>
        <v/>
      </c>
      <c r="AR43" s="17" t="str">
        <f t="shared" si="31"/>
        <v/>
      </c>
      <c r="AS43" s="17" t="str">
        <f t="shared" si="32"/>
        <v/>
      </c>
      <c r="AT43" s="7" t="str">
        <f t="shared" si="46"/>
        <v/>
      </c>
      <c r="AU43" s="10" t="str">
        <f t="shared" si="33"/>
        <v/>
      </c>
      <c r="AV43" s="7" t="str">
        <f t="shared" si="47"/>
        <v/>
      </c>
      <c r="AW43" s="21" t="str">
        <f t="shared" si="34"/>
        <v/>
      </c>
      <c r="AX43" s="21" t="str">
        <f t="shared" si="48"/>
        <v/>
      </c>
      <c r="AY43" s="7" t="str">
        <f t="shared" si="35"/>
        <v/>
      </c>
      <c r="AZ43" s="7" t="str">
        <f t="shared" si="36"/>
        <v/>
      </c>
    </row>
    <row r="44" spans="1:52" ht="13.2">
      <c r="A44" s="7" t="str">
        <f>HIDDEN!H43</f>
        <v/>
      </c>
      <c r="B44" s="7" t="str">
        <f>IFERROR(MATCH(A44,'3)PACIENTES'!$A$2:$A$97,0),"")</f>
        <v/>
      </c>
      <c r="C44" s="24" t="str">
        <f>IFERROR(INDEX('3)PACIENTES'!D$2:D$97,SAMPLES!$B44),"")</f>
        <v/>
      </c>
      <c r="D44" s="24" t="str">
        <f>IFERROR(INDEX('3)PACIENTES'!B$2:B$97,SAMPLES!$B44),"")</f>
        <v/>
      </c>
      <c r="E44" s="24" t="str">
        <f>IFERROR(INDEX('3)PACIENTES'!$C$2:$C136,SAMPLES!$B44),"")</f>
        <v/>
      </c>
      <c r="F44" s="22">
        <f>'3)PACIENTES'!$F$2</f>
        <v>44039</v>
      </c>
      <c r="G44" s="13" t="str">
        <f>IFERROR(INDEX('3)PACIENTES'!E$2:E$97,SAMPLES!$B44),"")</f>
        <v/>
      </c>
      <c r="H44" s="17" t="str">
        <f t="shared" si="0"/>
        <v/>
      </c>
      <c r="I44" s="17" t="str">
        <f t="shared" si="20"/>
        <v/>
      </c>
      <c r="J44" s="32" t="str">
        <f t="array" ref="J44">IFERROR(INDEX('1)qPCR'!$E$2:$E$97,MATCH(INDEX(HIDDEN!$C$1:$C$96,SMALL(IF(HIDDEN!$B$1:$B$96=$A44&amp;";"&amp;J$1,ROW(HIDDEN!$B$1:$B$96)-ROW(INDEX(HIDDEN!$B$1:$B$96,1,1))+1),J$2)),'1)qPCR'!$A$2:$A$97,0)),"")</f>
        <v/>
      </c>
      <c r="K44" s="32" t="str">
        <f t="array" ref="K44">IFERROR(INDEX('1)qPCR'!$E$2:$E$97,MATCH(INDEX(HIDDEN!$C$1:$C$96,SMALL(IF(HIDDEN!$B$1:$B$96=$A44&amp;";"&amp;K$1,ROW(HIDDEN!$B$1:$B$96)-ROW(INDEX(HIDDEN!$B$1:$B$96,1,1))+1),K$2)),'1)qPCR'!$A$2:$A$97,0)),"")</f>
        <v/>
      </c>
      <c r="L44" s="32" t="str">
        <f t="array" ref="L44">IFERROR(INDEX('1)qPCR'!$E$2:$E$97,MATCH(INDEX(HIDDEN!$C$1:$C$96,SMALL(IF(HIDDEN!$B$1:$B$96=$A44&amp;";"&amp;L$1,ROW(HIDDEN!$B$1:$B$96)-ROW(INDEX(HIDDEN!$B$1:$B$96,1,1))+1),L$2)),'1)qPCR'!$A$2:$A$97,0)),"")</f>
        <v/>
      </c>
      <c r="M44" s="32" t="str">
        <f t="array" ref="M44">IFERROR(INDEX('1)qPCR'!$E$2:$E$97,MATCH(INDEX(HIDDEN!$C$1:$C$96,SMALL(IF(HIDDEN!$B$1:$B$96=$A44&amp;";"&amp;M$1,ROW(HIDDEN!$B$1:$B$96)-ROW(INDEX(HIDDEN!$B$1:$B$96,1,1))+1),M$2)),'1)qPCR'!$A$2:$A$97,0)),"")</f>
        <v/>
      </c>
      <c r="N44" s="32" t="str">
        <f t="array" ref="N44">IFERROR(INDEX('1)qPCR'!$E$2:$E$97,MATCH(INDEX(HIDDEN!$C$1:$C$96,SMALL(IF(HIDDEN!$B$1:$B$96=$A44&amp;";"&amp;N$1,ROW(HIDDEN!$B$1:$B$96)-ROW(INDEX(HIDDEN!$B$1:$B$96,1,1))+1),N$2)),'1)qPCR'!$A$2:$A$97,0)),"")</f>
        <v/>
      </c>
      <c r="O44" s="32" t="str">
        <f t="array" ref="O44">IFERROR(INDEX('1)qPCR'!$E$2:$E$97,MATCH(INDEX(HIDDEN!$C$1:$C$96,SMALL(IF(HIDDEN!$B$1:$B$96=$A44&amp;";"&amp;O$1,ROW(HIDDEN!$B$1:$B$96)-ROW(INDEX(HIDDEN!$B$1:$B$96,1,1))+1),O$2)),'1)qPCR'!$A$2:$A$97,0)),"")</f>
        <v/>
      </c>
      <c r="P44" s="7" t="str">
        <f t="shared" si="41"/>
        <v/>
      </c>
      <c r="Q44" s="18" t="str">
        <f t="shared" si="3"/>
        <v/>
      </c>
      <c r="R44" s="7" t="str">
        <f t="shared" si="42"/>
        <v/>
      </c>
      <c r="S44" s="18" t="str">
        <f t="shared" si="4"/>
        <v/>
      </c>
      <c r="T44" s="10" t="str">
        <f t="shared" si="21"/>
        <v/>
      </c>
      <c r="U44" s="10" t="str">
        <f t="shared" si="22"/>
        <v/>
      </c>
      <c r="V44" s="17" t="str">
        <f t="shared" si="23"/>
        <v/>
      </c>
      <c r="W44" s="17" t="str">
        <f t="shared" si="24"/>
        <v/>
      </c>
      <c r="X44" s="17" t="str">
        <f t="shared" si="37"/>
        <v/>
      </c>
      <c r="Y44" s="17" t="str">
        <f t="shared" si="38"/>
        <v/>
      </c>
      <c r="Z44" s="17" t="str">
        <f t="shared" si="6"/>
        <v/>
      </c>
      <c r="AA44" s="17" t="str">
        <f t="shared" si="7"/>
        <v/>
      </c>
      <c r="AB44" s="17" t="str">
        <f t="shared" si="39"/>
        <v/>
      </c>
      <c r="AC44" s="17" t="str">
        <f t="shared" si="40"/>
        <v/>
      </c>
      <c r="AD44" s="17" t="str">
        <f t="shared" si="10"/>
        <v/>
      </c>
      <c r="AE44" s="17" t="str">
        <f t="shared" si="11"/>
        <v/>
      </c>
      <c r="AF44" s="17" t="str">
        <f t="shared" si="12"/>
        <v/>
      </c>
      <c r="AG44" s="17">
        <f t="shared" si="26"/>
        <v>0</v>
      </c>
      <c r="AH44" s="17">
        <f t="shared" si="13"/>
        <v>0</v>
      </c>
      <c r="AI44" s="17">
        <f t="shared" si="27"/>
        <v>0</v>
      </c>
      <c r="AJ44" s="17" t="str">
        <f>IF(AP44="","",IF(AP44&lt;=RANGES!$A$8,1,IF(AP44&lt;=RANGES!$A$9,2,IF(AP44&lt;=RANGES!$A$10,3,IF(AP44&lt;=RANGES!$A$11,4,IF(AP44&lt;=RANGES!$A$12,5,IF(AP44&lt;=RANGES!$A$13,6,IF(AP44&lt;=RANGES!$A$14,7,8))))))))</f>
        <v/>
      </c>
      <c r="AK44" s="17" t="str">
        <f ca="1">IFERROR(INDEX(RANGES!$C$7:$H$7,1,IF(AO44&lt;=INDIRECT("RANGES!C"&amp;7+AJ44),1,IF(AO44&lt;=INDIRECT("RANGES!D"&amp;7+AJ44),2,IF(AO44&lt;=INDIRECT("RANGES!E"&amp;7+AJ44),3,IF(AO44&lt;=INDIRECT("RANGES!F"&amp;7+AJ44),4,IF(AO44&lt;=INDIRECT("RANGES!G"&amp;7+AJ44),5,6)))))),"")</f>
        <v/>
      </c>
      <c r="AL44" s="17">
        <f t="shared" si="43"/>
        <v>0</v>
      </c>
      <c r="AM44" s="17" t="str">
        <f t="shared" si="44"/>
        <v/>
      </c>
      <c r="AN44" s="17" t="str">
        <f t="shared" si="28"/>
        <v/>
      </c>
      <c r="AO44" s="17" t="str">
        <f t="shared" si="29"/>
        <v/>
      </c>
      <c r="AP44" s="17" t="str">
        <f t="shared" si="45"/>
        <v/>
      </c>
      <c r="AQ44" s="17" t="str">
        <f t="shared" si="30"/>
        <v/>
      </c>
      <c r="AR44" s="17" t="str">
        <f t="shared" si="31"/>
        <v/>
      </c>
      <c r="AS44" s="17" t="str">
        <f t="shared" si="32"/>
        <v/>
      </c>
      <c r="AT44" s="7" t="str">
        <f t="shared" si="46"/>
        <v/>
      </c>
      <c r="AU44" s="10" t="str">
        <f t="shared" si="33"/>
        <v/>
      </c>
      <c r="AV44" s="7" t="str">
        <f t="shared" si="47"/>
        <v/>
      </c>
      <c r="AW44" s="21" t="str">
        <f t="shared" si="34"/>
        <v/>
      </c>
      <c r="AX44" s="21" t="str">
        <f t="shared" si="48"/>
        <v/>
      </c>
      <c r="AY44" s="7" t="str">
        <f t="shared" si="35"/>
        <v/>
      </c>
      <c r="AZ44" s="7" t="str">
        <f t="shared" si="36"/>
        <v/>
      </c>
    </row>
    <row r="45" spans="1:52" ht="13.2">
      <c r="A45" s="7" t="str">
        <f>HIDDEN!H44</f>
        <v/>
      </c>
      <c r="B45" s="7" t="str">
        <f>IFERROR(MATCH(A45,'3)PACIENTES'!$A$2:$A$97,0),"")</f>
        <v/>
      </c>
      <c r="C45" s="24" t="str">
        <f>IFERROR(INDEX('3)PACIENTES'!D$2:D$97,SAMPLES!$B45),"")</f>
        <v/>
      </c>
      <c r="D45" s="24" t="str">
        <f>IFERROR(INDEX('3)PACIENTES'!B$2:B$97,SAMPLES!$B45),"")</f>
        <v/>
      </c>
      <c r="E45" s="24" t="str">
        <f>IFERROR(INDEX('3)PACIENTES'!$C$2:$C137,SAMPLES!$B45),"")</f>
        <v/>
      </c>
      <c r="F45" s="22">
        <f>'3)PACIENTES'!$F$2</f>
        <v>44039</v>
      </c>
      <c r="G45" s="13" t="str">
        <f>IFERROR(INDEX('3)PACIENTES'!E$2:E$97,SAMPLES!$B45),"")</f>
        <v/>
      </c>
      <c r="H45" s="17" t="str">
        <f t="shared" si="0"/>
        <v/>
      </c>
      <c r="I45" s="17" t="str">
        <f t="shared" si="20"/>
        <v/>
      </c>
      <c r="J45" s="32" t="str">
        <f t="array" ref="J45">IFERROR(INDEX('1)qPCR'!$E$2:$E$97,MATCH(INDEX(HIDDEN!$C$1:$C$96,SMALL(IF(HIDDEN!$B$1:$B$96=$A45&amp;";"&amp;J$1,ROW(HIDDEN!$B$1:$B$96)-ROW(INDEX(HIDDEN!$B$1:$B$96,1,1))+1),J$2)),'1)qPCR'!$A$2:$A$97,0)),"")</f>
        <v/>
      </c>
      <c r="K45" s="32" t="str">
        <f t="array" ref="K45">IFERROR(INDEX('1)qPCR'!$E$2:$E$97,MATCH(INDEX(HIDDEN!$C$1:$C$96,SMALL(IF(HIDDEN!$B$1:$B$96=$A45&amp;";"&amp;K$1,ROW(HIDDEN!$B$1:$B$96)-ROW(INDEX(HIDDEN!$B$1:$B$96,1,1))+1),K$2)),'1)qPCR'!$A$2:$A$97,0)),"")</f>
        <v/>
      </c>
      <c r="L45" s="32" t="str">
        <f t="array" ref="L45">IFERROR(INDEX('1)qPCR'!$E$2:$E$97,MATCH(INDEX(HIDDEN!$C$1:$C$96,SMALL(IF(HIDDEN!$B$1:$B$96=$A45&amp;";"&amp;L$1,ROW(HIDDEN!$B$1:$B$96)-ROW(INDEX(HIDDEN!$B$1:$B$96,1,1))+1),L$2)),'1)qPCR'!$A$2:$A$97,0)),"")</f>
        <v/>
      </c>
      <c r="M45" s="32" t="str">
        <f t="array" ref="M45">IFERROR(INDEX('1)qPCR'!$E$2:$E$97,MATCH(INDEX(HIDDEN!$C$1:$C$96,SMALL(IF(HIDDEN!$B$1:$B$96=$A45&amp;";"&amp;M$1,ROW(HIDDEN!$B$1:$B$96)-ROW(INDEX(HIDDEN!$B$1:$B$96,1,1))+1),M$2)),'1)qPCR'!$A$2:$A$97,0)),"")</f>
        <v/>
      </c>
      <c r="N45" s="32" t="str">
        <f t="array" ref="N45">IFERROR(INDEX('1)qPCR'!$E$2:$E$97,MATCH(INDEX(HIDDEN!$C$1:$C$96,SMALL(IF(HIDDEN!$B$1:$B$96=$A45&amp;";"&amp;N$1,ROW(HIDDEN!$B$1:$B$96)-ROW(INDEX(HIDDEN!$B$1:$B$96,1,1))+1),N$2)),'1)qPCR'!$A$2:$A$97,0)),"")</f>
        <v/>
      </c>
      <c r="O45" s="32" t="str">
        <f t="array" ref="O45">IFERROR(INDEX('1)qPCR'!$E$2:$E$97,MATCH(INDEX(HIDDEN!$C$1:$C$96,SMALL(IF(HIDDEN!$B$1:$B$96=$A45&amp;";"&amp;O$1,ROW(HIDDEN!$B$1:$B$96)-ROW(INDEX(HIDDEN!$B$1:$B$96,1,1))+1),O$2)),'1)qPCR'!$A$2:$A$97,0)),"")</f>
        <v/>
      </c>
      <c r="P45" s="7" t="str">
        <f t="shared" si="41"/>
        <v/>
      </c>
      <c r="Q45" s="18" t="str">
        <f t="shared" si="3"/>
        <v/>
      </c>
      <c r="R45" s="7" t="str">
        <f t="shared" si="42"/>
        <v/>
      </c>
      <c r="S45" s="18" t="str">
        <f t="shared" si="4"/>
        <v/>
      </c>
      <c r="T45" s="10" t="str">
        <f t="shared" si="21"/>
        <v/>
      </c>
      <c r="U45" s="10" t="str">
        <f t="shared" si="22"/>
        <v/>
      </c>
      <c r="V45" s="17" t="str">
        <f t="shared" si="23"/>
        <v/>
      </c>
      <c r="W45" s="17" t="str">
        <f t="shared" si="24"/>
        <v/>
      </c>
      <c r="X45" s="17" t="str">
        <f t="shared" si="37"/>
        <v/>
      </c>
      <c r="Y45" s="17" t="str">
        <f t="shared" si="38"/>
        <v/>
      </c>
      <c r="Z45" s="17" t="str">
        <f t="shared" si="6"/>
        <v/>
      </c>
      <c r="AA45" s="17" t="str">
        <f t="shared" si="7"/>
        <v/>
      </c>
      <c r="AB45" s="17" t="str">
        <f t="shared" si="39"/>
        <v/>
      </c>
      <c r="AC45" s="17" t="str">
        <f t="shared" si="40"/>
        <v/>
      </c>
      <c r="AD45" s="17" t="str">
        <f t="shared" si="10"/>
        <v/>
      </c>
      <c r="AE45" s="17" t="str">
        <f t="shared" si="11"/>
        <v/>
      </c>
      <c r="AF45" s="17" t="str">
        <f t="shared" si="12"/>
        <v/>
      </c>
      <c r="AG45" s="17">
        <f t="shared" si="26"/>
        <v>0</v>
      </c>
      <c r="AH45" s="17">
        <f t="shared" si="13"/>
        <v>0</v>
      </c>
      <c r="AI45" s="17">
        <f t="shared" si="27"/>
        <v>0</v>
      </c>
      <c r="AJ45" s="17" t="str">
        <f>IF(AP45="","",IF(AP45&lt;=RANGES!$A$8,1,IF(AP45&lt;=RANGES!$A$9,2,IF(AP45&lt;=RANGES!$A$10,3,IF(AP45&lt;=RANGES!$A$11,4,IF(AP45&lt;=RANGES!$A$12,5,IF(AP45&lt;=RANGES!$A$13,6,IF(AP45&lt;=RANGES!$A$14,7,8))))))))</f>
        <v/>
      </c>
      <c r="AK45" s="17" t="str">
        <f ca="1">IFERROR(INDEX(RANGES!$C$7:$H$7,1,IF(AO45&lt;=INDIRECT("RANGES!C"&amp;7+AJ45),1,IF(AO45&lt;=INDIRECT("RANGES!D"&amp;7+AJ45),2,IF(AO45&lt;=INDIRECT("RANGES!E"&amp;7+AJ45),3,IF(AO45&lt;=INDIRECT("RANGES!F"&amp;7+AJ45),4,IF(AO45&lt;=INDIRECT("RANGES!G"&amp;7+AJ45),5,6)))))),"")</f>
        <v/>
      </c>
      <c r="AL45" s="17">
        <f t="shared" si="43"/>
        <v>0</v>
      </c>
      <c r="AM45" s="17" t="str">
        <f t="shared" si="44"/>
        <v/>
      </c>
      <c r="AN45" s="17" t="str">
        <f t="shared" si="28"/>
        <v/>
      </c>
      <c r="AO45" s="17" t="str">
        <f t="shared" si="29"/>
        <v/>
      </c>
      <c r="AP45" s="17" t="str">
        <f t="shared" si="45"/>
        <v/>
      </c>
      <c r="AQ45" s="17" t="str">
        <f t="shared" si="30"/>
        <v/>
      </c>
      <c r="AR45" s="17" t="str">
        <f t="shared" si="31"/>
        <v/>
      </c>
      <c r="AS45" s="17" t="str">
        <f t="shared" si="32"/>
        <v/>
      </c>
      <c r="AT45" s="7" t="str">
        <f t="shared" si="46"/>
        <v/>
      </c>
      <c r="AU45" s="10" t="str">
        <f t="shared" si="33"/>
        <v/>
      </c>
      <c r="AV45" s="7" t="str">
        <f t="shared" si="47"/>
        <v/>
      </c>
      <c r="AW45" s="21" t="str">
        <f t="shared" si="34"/>
        <v/>
      </c>
      <c r="AX45" s="21" t="str">
        <f t="shared" si="48"/>
        <v/>
      </c>
      <c r="AY45" s="7" t="str">
        <f t="shared" si="35"/>
        <v/>
      </c>
      <c r="AZ45" s="7" t="str">
        <f t="shared" si="36"/>
        <v/>
      </c>
    </row>
    <row r="46" spans="1:52" ht="13.2">
      <c r="A46" s="7" t="str">
        <f>HIDDEN!H45</f>
        <v/>
      </c>
      <c r="B46" s="7" t="str">
        <f>IFERROR(MATCH(A46,'3)PACIENTES'!$A$2:$A$97,0),"")</f>
        <v/>
      </c>
      <c r="C46" s="24" t="str">
        <f>IFERROR(INDEX('3)PACIENTES'!D$2:D$97,SAMPLES!$B46),"")</f>
        <v/>
      </c>
      <c r="D46" s="24" t="str">
        <f>IFERROR(INDEX('3)PACIENTES'!B$2:B$97,SAMPLES!$B46),"")</f>
        <v/>
      </c>
      <c r="E46" s="24" t="str">
        <f>IFERROR(INDEX('3)PACIENTES'!$C$2:$C138,SAMPLES!$B46),"")</f>
        <v/>
      </c>
      <c r="F46" s="22">
        <f>'3)PACIENTES'!$F$2</f>
        <v>44039</v>
      </c>
      <c r="G46" s="13" t="str">
        <f>IFERROR(INDEX('3)PACIENTES'!E$2:E$97,SAMPLES!$B46),"")</f>
        <v/>
      </c>
      <c r="H46" s="17" t="str">
        <f t="shared" si="0"/>
        <v/>
      </c>
      <c r="I46" s="17" t="str">
        <f t="shared" si="20"/>
        <v/>
      </c>
      <c r="J46" s="32" t="str">
        <f t="array" ref="J46">IFERROR(INDEX('1)qPCR'!$E$2:$E$97,MATCH(INDEX(HIDDEN!$C$1:$C$96,SMALL(IF(HIDDEN!$B$1:$B$96=$A46&amp;";"&amp;J$1,ROW(HIDDEN!$B$1:$B$96)-ROW(INDEX(HIDDEN!$B$1:$B$96,1,1))+1),J$2)),'1)qPCR'!$A$2:$A$97,0)),"")</f>
        <v/>
      </c>
      <c r="K46" s="32" t="str">
        <f t="array" ref="K46">IFERROR(INDEX('1)qPCR'!$E$2:$E$97,MATCH(INDEX(HIDDEN!$C$1:$C$96,SMALL(IF(HIDDEN!$B$1:$B$96=$A46&amp;";"&amp;K$1,ROW(HIDDEN!$B$1:$B$96)-ROW(INDEX(HIDDEN!$B$1:$B$96,1,1))+1),K$2)),'1)qPCR'!$A$2:$A$97,0)),"")</f>
        <v/>
      </c>
      <c r="L46" s="32" t="str">
        <f t="array" ref="L46">IFERROR(INDEX('1)qPCR'!$E$2:$E$97,MATCH(INDEX(HIDDEN!$C$1:$C$96,SMALL(IF(HIDDEN!$B$1:$B$96=$A46&amp;";"&amp;L$1,ROW(HIDDEN!$B$1:$B$96)-ROW(INDEX(HIDDEN!$B$1:$B$96,1,1))+1),L$2)),'1)qPCR'!$A$2:$A$97,0)),"")</f>
        <v/>
      </c>
      <c r="M46" s="32" t="str">
        <f t="array" ref="M46">IFERROR(INDEX('1)qPCR'!$E$2:$E$97,MATCH(INDEX(HIDDEN!$C$1:$C$96,SMALL(IF(HIDDEN!$B$1:$B$96=$A46&amp;";"&amp;M$1,ROW(HIDDEN!$B$1:$B$96)-ROW(INDEX(HIDDEN!$B$1:$B$96,1,1))+1),M$2)),'1)qPCR'!$A$2:$A$97,0)),"")</f>
        <v/>
      </c>
      <c r="N46" s="32" t="str">
        <f t="array" ref="N46">IFERROR(INDEX('1)qPCR'!$E$2:$E$97,MATCH(INDEX(HIDDEN!$C$1:$C$96,SMALL(IF(HIDDEN!$B$1:$B$96=$A46&amp;";"&amp;N$1,ROW(HIDDEN!$B$1:$B$96)-ROW(INDEX(HIDDEN!$B$1:$B$96,1,1))+1),N$2)),'1)qPCR'!$A$2:$A$97,0)),"")</f>
        <v/>
      </c>
      <c r="O46" s="32" t="str">
        <f t="array" ref="O46">IFERROR(INDEX('1)qPCR'!$E$2:$E$97,MATCH(INDEX(HIDDEN!$C$1:$C$96,SMALL(IF(HIDDEN!$B$1:$B$96=$A46&amp;";"&amp;O$1,ROW(HIDDEN!$B$1:$B$96)-ROW(INDEX(HIDDEN!$B$1:$B$96,1,1))+1),O$2)),'1)qPCR'!$A$2:$A$97,0)),"")</f>
        <v/>
      </c>
      <c r="P46" s="7" t="str">
        <f t="shared" si="41"/>
        <v/>
      </c>
      <c r="Q46" s="18" t="str">
        <f t="shared" si="3"/>
        <v/>
      </c>
      <c r="R46" s="7" t="str">
        <f t="shared" si="42"/>
        <v/>
      </c>
      <c r="S46" s="18" t="str">
        <f t="shared" si="4"/>
        <v/>
      </c>
      <c r="T46" s="10" t="str">
        <f t="shared" si="21"/>
        <v/>
      </c>
      <c r="U46" s="10" t="str">
        <f t="shared" si="22"/>
        <v/>
      </c>
      <c r="V46" s="17" t="str">
        <f t="shared" si="23"/>
        <v/>
      </c>
      <c r="W46" s="17" t="str">
        <f t="shared" si="24"/>
        <v/>
      </c>
      <c r="X46" s="17" t="str">
        <f t="shared" si="37"/>
        <v/>
      </c>
      <c r="Y46" s="17" t="str">
        <f t="shared" si="38"/>
        <v/>
      </c>
      <c r="Z46" s="17" t="str">
        <f t="shared" si="6"/>
        <v/>
      </c>
      <c r="AA46" s="17" t="str">
        <f t="shared" si="7"/>
        <v/>
      </c>
      <c r="AB46" s="17" t="str">
        <f t="shared" si="39"/>
        <v/>
      </c>
      <c r="AC46" s="17" t="str">
        <f t="shared" si="40"/>
        <v/>
      </c>
      <c r="AD46" s="17" t="str">
        <f t="shared" si="10"/>
        <v/>
      </c>
      <c r="AE46" s="17" t="str">
        <f t="shared" si="11"/>
        <v/>
      </c>
      <c r="AF46" s="17" t="str">
        <f t="shared" si="12"/>
        <v/>
      </c>
      <c r="AG46" s="17">
        <f t="shared" si="26"/>
        <v>0</v>
      </c>
      <c r="AH46" s="17">
        <f t="shared" si="13"/>
        <v>0</v>
      </c>
      <c r="AI46" s="17">
        <f t="shared" si="27"/>
        <v>0</v>
      </c>
      <c r="AJ46" s="17" t="str">
        <f>IF(AP46="","",IF(AP46&lt;=RANGES!$A$8,1,IF(AP46&lt;=RANGES!$A$9,2,IF(AP46&lt;=RANGES!$A$10,3,IF(AP46&lt;=RANGES!$A$11,4,IF(AP46&lt;=RANGES!$A$12,5,IF(AP46&lt;=RANGES!$A$13,6,IF(AP46&lt;=RANGES!$A$14,7,8))))))))</f>
        <v/>
      </c>
      <c r="AK46" s="17" t="str">
        <f ca="1">IFERROR(INDEX(RANGES!$C$7:$H$7,1,IF(AO46&lt;=INDIRECT("RANGES!C"&amp;7+AJ46),1,IF(AO46&lt;=INDIRECT("RANGES!D"&amp;7+AJ46),2,IF(AO46&lt;=INDIRECT("RANGES!E"&amp;7+AJ46),3,IF(AO46&lt;=INDIRECT("RANGES!F"&amp;7+AJ46),4,IF(AO46&lt;=INDIRECT("RANGES!G"&amp;7+AJ46),5,6)))))),"")</f>
        <v/>
      </c>
      <c r="AL46" s="17">
        <f t="shared" si="43"/>
        <v>0</v>
      </c>
      <c r="AM46" s="17" t="str">
        <f t="shared" si="44"/>
        <v/>
      </c>
      <c r="AN46" s="17" t="str">
        <f t="shared" si="28"/>
        <v/>
      </c>
      <c r="AO46" s="17" t="str">
        <f t="shared" si="29"/>
        <v/>
      </c>
      <c r="AP46" s="17" t="str">
        <f t="shared" si="45"/>
        <v/>
      </c>
      <c r="AQ46" s="17" t="str">
        <f t="shared" si="30"/>
        <v/>
      </c>
      <c r="AR46" s="17" t="str">
        <f t="shared" si="31"/>
        <v/>
      </c>
      <c r="AS46" s="17" t="str">
        <f t="shared" si="32"/>
        <v/>
      </c>
      <c r="AT46" s="7" t="str">
        <f t="shared" si="46"/>
        <v/>
      </c>
      <c r="AU46" s="10" t="str">
        <f t="shared" si="33"/>
        <v/>
      </c>
      <c r="AV46" s="7" t="str">
        <f t="shared" si="47"/>
        <v/>
      </c>
      <c r="AW46" s="21" t="str">
        <f t="shared" si="34"/>
        <v/>
      </c>
      <c r="AX46" s="21" t="str">
        <f t="shared" si="48"/>
        <v/>
      </c>
      <c r="AY46" s="7" t="str">
        <f t="shared" si="35"/>
        <v/>
      </c>
      <c r="AZ46" s="7" t="str">
        <f t="shared" si="36"/>
        <v/>
      </c>
    </row>
    <row r="47" spans="1:52" ht="13.2">
      <c r="A47" s="7" t="str">
        <f>HIDDEN!H46</f>
        <v/>
      </c>
      <c r="B47" s="7" t="str">
        <f>IFERROR(MATCH(A47,'3)PACIENTES'!$A$2:$A$97,0),"")</f>
        <v/>
      </c>
      <c r="C47" s="24" t="str">
        <f>IFERROR(INDEX('3)PACIENTES'!D$2:D$97,SAMPLES!$B47),"")</f>
        <v/>
      </c>
      <c r="D47" s="24" t="str">
        <f>IFERROR(INDEX('3)PACIENTES'!B$2:B$97,SAMPLES!$B47),"")</f>
        <v/>
      </c>
      <c r="E47" s="24" t="str">
        <f>IFERROR(INDEX('3)PACIENTES'!$C$2:$C139,SAMPLES!$B47),"")</f>
        <v/>
      </c>
      <c r="F47" s="22">
        <f>'3)PACIENTES'!$F$2</f>
        <v>44039</v>
      </c>
      <c r="G47" s="13" t="str">
        <f>IFERROR(INDEX('3)PACIENTES'!E$2:E$97,SAMPLES!$B47),"")</f>
        <v/>
      </c>
      <c r="H47" s="17" t="str">
        <f t="shared" si="0"/>
        <v/>
      </c>
      <c r="I47" s="17" t="str">
        <f t="shared" si="20"/>
        <v/>
      </c>
      <c r="J47" s="32" t="str">
        <f t="array" ref="J47">IFERROR(INDEX('1)qPCR'!$E$2:$E$97,MATCH(INDEX(HIDDEN!$C$1:$C$96,SMALL(IF(HIDDEN!$B$1:$B$96=$A47&amp;";"&amp;J$1,ROW(HIDDEN!$B$1:$B$96)-ROW(INDEX(HIDDEN!$B$1:$B$96,1,1))+1),J$2)),'1)qPCR'!$A$2:$A$97,0)),"")</f>
        <v/>
      </c>
      <c r="K47" s="32" t="str">
        <f t="array" ref="K47">IFERROR(INDEX('1)qPCR'!$E$2:$E$97,MATCH(INDEX(HIDDEN!$C$1:$C$96,SMALL(IF(HIDDEN!$B$1:$B$96=$A47&amp;";"&amp;K$1,ROW(HIDDEN!$B$1:$B$96)-ROW(INDEX(HIDDEN!$B$1:$B$96,1,1))+1),K$2)),'1)qPCR'!$A$2:$A$97,0)),"")</f>
        <v/>
      </c>
      <c r="L47" s="32" t="str">
        <f t="array" ref="L47">IFERROR(INDEX('1)qPCR'!$E$2:$E$97,MATCH(INDEX(HIDDEN!$C$1:$C$96,SMALL(IF(HIDDEN!$B$1:$B$96=$A47&amp;";"&amp;L$1,ROW(HIDDEN!$B$1:$B$96)-ROW(INDEX(HIDDEN!$B$1:$B$96,1,1))+1),L$2)),'1)qPCR'!$A$2:$A$97,0)),"")</f>
        <v/>
      </c>
      <c r="M47" s="32" t="str">
        <f t="array" ref="M47">IFERROR(INDEX('1)qPCR'!$E$2:$E$97,MATCH(INDEX(HIDDEN!$C$1:$C$96,SMALL(IF(HIDDEN!$B$1:$B$96=$A47&amp;";"&amp;M$1,ROW(HIDDEN!$B$1:$B$96)-ROW(INDEX(HIDDEN!$B$1:$B$96,1,1))+1),M$2)),'1)qPCR'!$A$2:$A$97,0)),"")</f>
        <v/>
      </c>
      <c r="N47" s="32" t="str">
        <f t="array" ref="N47">IFERROR(INDEX('1)qPCR'!$E$2:$E$97,MATCH(INDEX(HIDDEN!$C$1:$C$96,SMALL(IF(HIDDEN!$B$1:$B$96=$A47&amp;";"&amp;N$1,ROW(HIDDEN!$B$1:$B$96)-ROW(INDEX(HIDDEN!$B$1:$B$96,1,1))+1),N$2)),'1)qPCR'!$A$2:$A$97,0)),"")</f>
        <v/>
      </c>
      <c r="O47" s="32" t="str">
        <f t="array" ref="O47">IFERROR(INDEX('1)qPCR'!$E$2:$E$97,MATCH(INDEX(HIDDEN!$C$1:$C$96,SMALL(IF(HIDDEN!$B$1:$B$96=$A47&amp;";"&amp;O$1,ROW(HIDDEN!$B$1:$B$96)-ROW(INDEX(HIDDEN!$B$1:$B$96,1,1))+1),O$2)),'1)qPCR'!$A$2:$A$97,0)),"")</f>
        <v/>
      </c>
      <c r="P47" s="7" t="str">
        <f t="shared" si="41"/>
        <v/>
      </c>
      <c r="Q47" s="18" t="str">
        <f t="shared" si="3"/>
        <v/>
      </c>
      <c r="R47" s="7" t="str">
        <f t="shared" si="42"/>
        <v/>
      </c>
      <c r="S47" s="18" t="str">
        <f t="shared" si="4"/>
        <v/>
      </c>
      <c r="T47" s="10" t="str">
        <f t="shared" si="21"/>
        <v/>
      </c>
      <c r="U47" s="10" t="str">
        <f t="shared" si="22"/>
        <v/>
      </c>
      <c r="V47" s="17" t="str">
        <f t="shared" si="23"/>
        <v/>
      </c>
      <c r="W47" s="17" t="str">
        <f t="shared" si="24"/>
        <v/>
      </c>
      <c r="X47" s="17" t="str">
        <f t="shared" si="37"/>
        <v/>
      </c>
      <c r="Y47" s="17" t="str">
        <f t="shared" si="38"/>
        <v/>
      </c>
      <c r="Z47" s="17" t="str">
        <f t="shared" si="6"/>
        <v/>
      </c>
      <c r="AA47" s="17" t="str">
        <f t="shared" si="7"/>
        <v/>
      </c>
      <c r="AB47" s="17" t="str">
        <f t="shared" si="39"/>
        <v/>
      </c>
      <c r="AC47" s="17" t="str">
        <f t="shared" si="40"/>
        <v/>
      </c>
      <c r="AD47" s="17" t="str">
        <f t="shared" si="10"/>
        <v/>
      </c>
      <c r="AE47" s="17" t="str">
        <f t="shared" si="11"/>
        <v/>
      </c>
      <c r="AF47" s="17" t="str">
        <f t="shared" si="12"/>
        <v/>
      </c>
      <c r="AG47" s="17">
        <f t="shared" si="26"/>
        <v>0</v>
      </c>
      <c r="AH47" s="17">
        <f t="shared" si="13"/>
        <v>0</v>
      </c>
      <c r="AI47" s="17">
        <f t="shared" si="27"/>
        <v>0</v>
      </c>
      <c r="AJ47" s="17" t="str">
        <f>IF(AP47="","",IF(AP47&lt;=RANGES!$A$8,1,IF(AP47&lt;=RANGES!$A$9,2,IF(AP47&lt;=RANGES!$A$10,3,IF(AP47&lt;=RANGES!$A$11,4,IF(AP47&lt;=RANGES!$A$12,5,IF(AP47&lt;=RANGES!$A$13,6,IF(AP47&lt;=RANGES!$A$14,7,8))))))))</f>
        <v/>
      </c>
      <c r="AK47" s="17" t="str">
        <f ca="1">IFERROR(INDEX(RANGES!$C$7:$H$7,1,IF(AO47&lt;=INDIRECT("RANGES!C"&amp;7+AJ47),1,IF(AO47&lt;=INDIRECT("RANGES!D"&amp;7+AJ47),2,IF(AO47&lt;=INDIRECT("RANGES!E"&amp;7+AJ47),3,IF(AO47&lt;=INDIRECT("RANGES!F"&amp;7+AJ47),4,IF(AO47&lt;=INDIRECT("RANGES!G"&amp;7+AJ47),5,6)))))),"")</f>
        <v/>
      </c>
      <c r="AL47" s="17">
        <f t="shared" si="43"/>
        <v>0</v>
      </c>
      <c r="AM47" s="17" t="str">
        <f t="shared" si="44"/>
        <v/>
      </c>
      <c r="AN47" s="17" t="str">
        <f t="shared" si="28"/>
        <v/>
      </c>
      <c r="AO47" s="17" t="str">
        <f t="shared" si="29"/>
        <v/>
      </c>
      <c r="AP47" s="17" t="str">
        <f t="shared" si="45"/>
        <v/>
      </c>
      <c r="AQ47" s="17" t="str">
        <f t="shared" si="30"/>
        <v/>
      </c>
      <c r="AR47" s="17" t="str">
        <f t="shared" si="31"/>
        <v/>
      </c>
      <c r="AS47" s="17" t="str">
        <f t="shared" si="32"/>
        <v/>
      </c>
      <c r="AT47" s="7" t="str">
        <f t="shared" si="46"/>
        <v/>
      </c>
      <c r="AU47" s="10" t="str">
        <f t="shared" si="33"/>
        <v/>
      </c>
      <c r="AV47" s="7" t="str">
        <f t="shared" si="47"/>
        <v/>
      </c>
      <c r="AW47" s="21" t="str">
        <f t="shared" si="34"/>
        <v/>
      </c>
      <c r="AX47" s="21" t="str">
        <f t="shared" si="48"/>
        <v/>
      </c>
      <c r="AY47" s="7" t="str">
        <f t="shared" si="35"/>
        <v/>
      </c>
      <c r="AZ47" s="7" t="str">
        <f t="shared" si="36"/>
        <v/>
      </c>
    </row>
    <row r="48" spans="1:52" ht="13.2">
      <c r="A48" s="7" t="str">
        <f>HIDDEN!H47</f>
        <v/>
      </c>
      <c r="B48" s="7" t="str">
        <f>IFERROR(MATCH(A48,'3)PACIENTES'!$A$2:$A$97,0),"")</f>
        <v/>
      </c>
      <c r="C48" s="24" t="str">
        <f>IFERROR(INDEX('3)PACIENTES'!D$2:D$97,SAMPLES!$B48),"")</f>
        <v/>
      </c>
      <c r="D48" s="24" t="str">
        <f>IFERROR(INDEX('3)PACIENTES'!B$2:B$97,SAMPLES!$B48),"")</f>
        <v/>
      </c>
      <c r="E48" s="24" t="str">
        <f>IFERROR(INDEX('3)PACIENTES'!$C$2:$C140,SAMPLES!$B48),"")</f>
        <v/>
      </c>
      <c r="F48" s="22">
        <f>'3)PACIENTES'!$F$2</f>
        <v>44039</v>
      </c>
      <c r="G48" s="13" t="str">
        <f>IFERROR(INDEX('3)PACIENTES'!E$2:E$97,SAMPLES!$B48),"")</f>
        <v/>
      </c>
      <c r="H48" s="17" t="str">
        <f t="shared" si="0"/>
        <v/>
      </c>
      <c r="I48" s="17" t="str">
        <f t="shared" si="20"/>
        <v/>
      </c>
      <c r="J48" s="32" t="str">
        <f t="array" ref="J48">IFERROR(INDEX('1)qPCR'!$E$2:$E$97,MATCH(INDEX(HIDDEN!$C$1:$C$96,SMALL(IF(HIDDEN!$B$1:$B$96=$A48&amp;";"&amp;J$1,ROW(HIDDEN!$B$1:$B$96)-ROW(INDEX(HIDDEN!$B$1:$B$96,1,1))+1),J$2)),'1)qPCR'!$A$2:$A$97,0)),"")</f>
        <v/>
      </c>
      <c r="K48" s="32" t="str">
        <f t="array" ref="K48">IFERROR(INDEX('1)qPCR'!$E$2:$E$97,MATCH(INDEX(HIDDEN!$C$1:$C$96,SMALL(IF(HIDDEN!$B$1:$B$96=$A48&amp;";"&amp;K$1,ROW(HIDDEN!$B$1:$B$96)-ROW(INDEX(HIDDEN!$B$1:$B$96,1,1))+1),K$2)),'1)qPCR'!$A$2:$A$97,0)),"")</f>
        <v/>
      </c>
      <c r="L48" s="32" t="str">
        <f t="array" ref="L48">IFERROR(INDEX('1)qPCR'!$E$2:$E$97,MATCH(INDEX(HIDDEN!$C$1:$C$96,SMALL(IF(HIDDEN!$B$1:$B$96=$A48&amp;";"&amp;L$1,ROW(HIDDEN!$B$1:$B$96)-ROW(INDEX(HIDDEN!$B$1:$B$96,1,1))+1),L$2)),'1)qPCR'!$A$2:$A$97,0)),"")</f>
        <v/>
      </c>
      <c r="M48" s="32" t="str">
        <f t="array" ref="M48">IFERROR(INDEX('1)qPCR'!$E$2:$E$97,MATCH(INDEX(HIDDEN!$C$1:$C$96,SMALL(IF(HIDDEN!$B$1:$B$96=$A48&amp;";"&amp;M$1,ROW(HIDDEN!$B$1:$B$96)-ROW(INDEX(HIDDEN!$B$1:$B$96,1,1))+1),M$2)),'1)qPCR'!$A$2:$A$97,0)),"")</f>
        <v/>
      </c>
      <c r="N48" s="32" t="str">
        <f t="array" ref="N48">IFERROR(INDEX('1)qPCR'!$E$2:$E$97,MATCH(INDEX(HIDDEN!$C$1:$C$96,SMALL(IF(HIDDEN!$B$1:$B$96=$A48&amp;";"&amp;N$1,ROW(HIDDEN!$B$1:$B$96)-ROW(INDEX(HIDDEN!$B$1:$B$96,1,1))+1),N$2)),'1)qPCR'!$A$2:$A$97,0)),"")</f>
        <v/>
      </c>
      <c r="O48" s="32" t="str">
        <f t="array" ref="O48">IFERROR(INDEX('1)qPCR'!$E$2:$E$97,MATCH(INDEX(HIDDEN!$C$1:$C$96,SMALL(IF(HIDDEN!$B$1:$B$96=$A48&amp;";"&amp;O$1,ROW(HIDDEN!$B$1:$B$96)-ROW(INDEX(HIDDEN!$B$1:$B$96,1,1))+1),O$2)),'1)qPCR'!$A$2:$A$97,0)),"")</f>
        <v/>
      </c>
      <c r="P48" s="7" t="str">
        <f t="shared" si="41"/>
        <v/>
      </c>
      <c r="Q48" s="18" t="str">
        <f t="shared" si="3"/>
        <v/>
      </c>
      <c r="R48" s="7" t="str">
        <f t="shared" si="42"/>
        <v/>
      </c>
      <c r="S48" s="18" t="str">
        <f t="shared" si="4"/>
        <v/>
      </c>
      <c r="T48" s="10" t="str">
        <f t="shared" si="21"/>
        <v/>
      </c>
      <c r="U48" s="10" t="str">
        <f t="shared" si="22"/>
        <v/>
      </c>
      <c r="V48" s="17" t="str">
        <f t="shared" si="23"/>
        <v/>
      </c>
      <c r="W48" s="17" t="str">
        <f t="shared" si="24"/>
        <v/>
      </c>
      <c r="X48" s="17" t="str">
        <f t="shared" si="37"/>
        <v/>
      </c>
      <c r="Y48" s="17" t="str">
        <f t="shared" si="38"/>
        <v/>
      </c>
      <c r="Z48" s="17" t="str">
        <f t="shared" si="6"/>
        <v/>
      </c>
      <c r="AA48" s="17" t="str">
        <f t="shared" si="7"/>
        <v/>
      </c>
      <c r="AB48" s="17" t="str">
        <f t="shared" si="39"/>
        <v/>
      </c>
      <c r="AC48" s="17" t="str">
        <f t="shared" si="40"/>
        <v/>
      </c>
      <c r="AD48" s="17" t="str">
        <f t="shared" si="10"/>
        <v/>
      </c>
      <c r="AE48" s="17" t="str">
        <f t="shared" si="11"/>
        <v/>
      </c>
      <c r="AF48" s="17" t="str">
        <f t="shared" si="12"/>
        <v/>
      </c>
      <c r="AG48" s="17">
        <f t="shared" si="26"/>
        <v>0</v>
      </c>
      <c r="AH48" s="17">
        <f t="shared" si="13"/>
        <v>0</v>
      </c>
      <c r="AI48" s="17">
        <f t="shared" si="27"/>
        <v>0</v>
      </c>
      <c r="AJ48" s="17" t="str">
        <f>IF(AP48="","",IF(AP48&lt;=RANGES!$A$8,1,IF(AP48&lt;=RANGES!$A$9,2,IF(AP48&lt;=RANGES!$A$10,3,IF(AP48&lt;=RANGES!$A$11,4,IF(AP48&lt;=RANGES!$A$12,5,IF(AP48&lt;=RANGES!$A$13,6,IF(AP48&lt;=RANGES!$A$14,7,8))))))))</f>
        <v/>
      </c>
      <c r="AK48" s="17" t="str">
        <f ca="1">IFERROR(INDEX(RANGES!$C$7:$H$7,1,IF(AO48&lt;=INDIRECT("RANGES!C"&amp;7+AJ48),1,IF(AO48&lt;=INDIRECT("RANGES!D"&amp;7+AJ48),2,IF(AO48&lt;=INDIRECT("RANGES!E"&amp;7+AJ48),3,IF(AO48&lt;=INDIRECT("RANGES!F"&amp;7+AJ48),4,IF(AO48&lt;=INDIRECT("RANGES!G"&amp;7+AJ48),5,6)))))),"")</f>
        <v/>
      </c>
      <c r="AL48" s="17">
        <f t="shared" si="43"/>
        <v>0</v>
      </c>
      <c r="AM48" s="17" t="str">
        <f t="shared" si="44"/>
        <v/>
      </c>
      <c r="AN48" s="17" t="str">
        <f t="shared" si="28"/>
        <v/>
      </c>
      <c r="AO48" s="17" t="str">
        <f t="shared" si="29"/>
        <v/>
      </c>
      <c r="AP48" s="17" t="str">
        <f t="shared" si="45"/>
        <v/>
      </c>
      <c r="AQ48" s="17" t="str">
        <f t="shared" si="30"/>
        <v/>
      </c>
      <c r="AR48" s="17" t="str">
        <f t="shared" si="31"/>
        <v/>
      </c>
      <c r="AS48" s="17" t="str">
        <f t="shared" si="32"/>
        <v/>
      </c>
      <c r="AT48" s="7" t="str">
        <f t="shared" si="46"/>
        <v/>
      </c>
      <c r="AU48" s="10" t="str">
        <f t="shared" si="33"/>
        <v/>
      </c>
      <c r="AV48" s="7" t="str">
        <f t="shared" si="47"/>
        <v/>
      </c>
      <c r="AW48" s="21" t="str">
        <f t="shared" si="34"/>
        <v/>
      </c>
      <c r="AX48" s="21" t="str">
        <f t="shared" si="48"/>
        <v/>
      </c>
      <c r="AY48" s="7" t="str">
        <f t="shared" si="35"/>
        <v/>
      </c>
      <c r="AZ48" s="7" t="str">
        <f t="shared" si="36"/>
        <v/>
      </c>
    </row>
    <row r="49" spans="1:52" ht="13.2">
      <c r="A49" s="7" t="str">
        <f>HIDDEN!H48</f>
        <v/>
      </c>
      <c r="B49" s="7" t="str">
        <f>IFERROR(MATCH(A49,'3)PACIENTES'!$A$2:$A$97,0),"")</f>
        <v/>
      </c>
      <c r="C49" s="24" t="str">
        <f>IFERROR(INDEX('3)PACIENTES'!D$2:D$97,SAMPLES!$B49),"")</f>
        <v/>
      </c>
      <c r="D49" s="24" t="str">
        <f>IFERROR(INDEX('3)PACIENTES'!B$2:B$97,SAMPLES!$B49),"")</f>
        <v/>
      </c>
      <c r="E49" s="24" t="str">
        <f>IFERROR(INDEX('3)PACIENTES'!$C$2:$C141,SAMPLES!$B49),"")</f>
        <v/>
      </c>
      <c r="F49" s="22">
        <f>'3)PACIENTES'!$F$2</f>
        <v>44039</v>
      </c>
      <c r="G49" s="13" t="str">
        <f>IFERROR(INDEX('3)PACIENTES'!E$2:E$97,SAMPLES!$B49),"")</f>
        <v/>
      </c>
      <c r="H49" s="17" t="str">
        <f t="shared" si="0"/>
        <v/>
      </c>
      <c r="I49" s="17" t="str">
        <f t="shared" si="20"/>
        <v/>
      </c>
      <c r="J49" s="32" t="str">
        <f t="array" ref="J49">IFERROR(INDEX('1)qPCR'!$E$2:$E$97,MATCH(INDEX(HIDDEN!$C$1:$C$96,SMALL(IF(HIDDEN!$B$1:$B$96=$A49&amp;";"&amp;J$1,ROW(HIDDEN!$B$1:$B$96)-ROW(INDEX(HIDDEN!$B$1:$B$96,1,1))+1),J$2)),'1)qPCR'!$A$2:$A$97,0)),"")</f>
        <v/>
      </c>
      <c r="K49" s="32" t="str">
        <f t="array" ref="K49">IFERROR(INDEX('1)qPCR'!$E$2:$E$97,MATCH(INDEX(HIDDEN!$C$1:$C$96,SMALL(IF(HIDDEN!$B$1:$B$96=$A49&amp;";"&amp;K$1,ROW(HIDDEN!$B$1:$B$96)-ROW(INDEX(HIDDEN!$B$1:$B$96,1,1))+1),K$2)),'1)qPCR'!$A$2:$A$97,0)),"")</f>
        <v/>
      </c>
      <c r="L49" s="32" t="str">
        <f t="array" ref="L49">IFERROR(INDEX('1)qPCR'!$E$2:$E$97,MATCH(INDEX(HIDDEN!$C$1:$C$96,SMALL(IF(HIDDEN!$B$1:$B$96=$A49&amp;";"&amp;L$1,ROW(HIDDEN!$B$1:$B$96)-ROW(INDEX(HIDDEN!$B$1:$B$96,1,1))+1),L$2)),'1)qPCR'!$A$2:$A$97,0)),"")</f>
        <v/>
      </c>
      <c r="M49" s="32" t="str">
        <f t="array" ref="M49">IFERROR(INDEX('1)qPCR'!$E$2:$E$97,MATCH(INDEX(HIDDEN!$C$1:$C$96,SMALL(IF(HIDDEN!$B$1:$B$96=$A49&amp;";"&amp;M$1,ROW(HIDDEN!$B$1:$B$96)-ROW(INDEX(HIDDEN!$B$1:$B$96,1,1))+1),M$2)),'1)qPCR'!$A$2:$A$97,0)),"")</f>
        <v/>
      </c>
      <c r="N49" s="32" t="str">
        <f t="array" ref="N49">IFERROR(INDEX('1)qPCR'!$E$2:$E$97,MATCH(INDEX(HIDDEN!$C$1:$C$96,SMALL(IF(HIDDEN!$B$1:$B$96=$A49&amp;";"&amp;N$1,ROW(HIDDEN!$B$1:$B$96)-ROW(INDEX(HIDDEN!$B$1:$B$96,1,1))+1),N$2)),'1)qPCR'!$A$2:$A$97,0)),"")</f>
        <v/>
      </c>
      <c r="O49" s="32" t="str">
        <f t="array" ref="O49">IFERROR(INDEX('1)qPCR'!$E$2:$E$97,MATCH(INDEX(HIDDEN!$C$1:$C$96,SMALL(IF(HIDDEN!$B$1:$B$96=$A49&amp;";"&amp;O$1,ROW(HIDDEN!$B$1:$B$96)-ROW(INDEX(HIDDEN!$B$1:$B$96,1,1))+1),O$2)),'1)qPCR'!$A$2:$A$97,0)),"")</f>
        <v/>
      </c>
      <c r="P49" s="7" t="str">
        <f t="shared" si="41"/>
        <v/>
      </c>
      <c r="Q49" s="18" t="str">
        <f t="shared" si="3"/>
        <v/>
      </c>
      <c r="R49" s="7" t="str">
        <f t="shared" si="42"/>
        <v/>
      </c>
      <c r="S49" s="18" t="str">
        <f t="shared" si="4"/>
        <v/>
      </c>
      <c r="T49" s="10" t="str">
        <f t="shared" si="21"/>
        <v/>
      </c>
      <c r="U49" s="10" t="str">
        <f t="shared" si="22"/>
        <v/>
      </c>
      <c r="V49" s="17" t="str">
        <f t="shared" si="23"/>
        <v/>
      </c>
      <c r="W49" s="17" t="str">
        <f t="shared" si="24"/>
        <v/>
      </c>
      <c r="X49" s="17" t="str">
        <f t="shared" si="37"/>
        <v/>
      </c>
      <c r="Y49" s="17" t="str">
        <f t="shared" si="38"/>
        <v/>
      </c>
      <c r="Z49" s="17" t="str">
        <f t="shared" si="6"/>
        <v/>
      </c>
      <c r="AA49" s="17" t="str">
        <f t="shared" si="7"/>
        <v/>
      </c>
      <c r="AB49" s="17" t="str">
        <f t="shared" si="39"/>
        <v/>
      </c>
      <c r="AC49" s="17" t="str">
        <f t="shared" si="40"/>
        <v/>
      </c>
      <c r="AD49" s="17" t="str">
        <f t="shared" si="10"/>
        <v/>
      </c>
      <c r="AE49" s="17" t="str">
        <f t="shared" si="11"/>
        <v/>
      </c>
      <c r="AF49" s="17" t="str">
        <f t="shared" si="12"/>
        <v/>
      </c>
      <c r="AG49" s="17">
        <f t="shared" si="26"/>
        <v>0</v>
      </c>
      <c r="AH49" s="17">
        <f t="shared" si="13"/>
        <v>0</v>
      </c>
      <c r="AI49" s="17">
        <f t="shared" si="27"/>
        <v>0</v>
      </c>
      <c r="AJ49" s="17" t="str">
        <f>IF(AP49="","",IF(AP49&lt;=RANGES!$A$8,1,IF(AP49&lt;=RANGES!$A$9,2,IF(AP49&lt;=RANGES!$A$10,3,IF(AP49&lt;=RANGES!$A$11,4,IF(AP49&lt;=RANGES!$A$12,5,IF(AP49&lt;=RANGES!$A$13,6,IF(AP49&lt;=RANGES!$A$14,7,8))))))))</f>
        <v/>
      </c>
      <c r="AK49" s="17" t="str">
        <f ca="1">IFERROR(INDEX(RANGES!$C$7:$H$7,1,IF(AO49&lt;=INDIRECT("RANGES!C"&amp;7+AJ49),1,IF(AO49&lt;=INDIRECT("RANGES!D"&amp;7+AJ49),2,IF(AO49&lt;=INDIRECT("RANGES!E"&amp;7+AJ49),3,IF(AO49&lt;=INDIRECT("RANGES!F"&amp;7+AJ49),4,IF(AO49&lt;=INDIRECT("RANGES!G"&amp;7+AJ49),5,6)))))),"")</f>
        <v/>
      </c>
      <c r="AL49" s="17">
        <f t="shared" si="43"/>
        <v>0</v>
      </c>
      <c r="AM49" s="17" t="str">
        <f t="shared" si="44"/>
        <v/>
      </c>
      <c r="AN49" s="17" t="str">
        <f t="shared" si="28"/>
        <v/>
      </c>
      <c r="AO49" s="17" t="str">
        <f t="shared" si="29"/>
        <v/>
      </c>
      <c r="AP49" s="17" t="str">
        <f t="shared" si="45"/>
        <v/>
      </c>
      <c r="AQ49" s="17" t="str">
        <f t="shared" si="30"/>
        <v/>
      </c>
      <c r="AR49" s="17" t="str">
        <f t="shared" si="31"/>
        <v/>
      </c>
      <c r="AS49" s="17" t="str">
        <f t="shared" si="32"/>
        <v/>
      </c>
      <c r="AT49" s="7" t="str">
        <f t="shared" si="46"/>
        <v/>
      </c>
      <c r="AU49" s="10" t="str">
        <f t="shared" si="33"/>
        <v/>
      </c>
      <c r="AV49" s="7" t="str">
        <f t="shared" si="47"/>
        <v/>
      </c>
      <c r="AW49" s="21" t="str">
        <f t="shared" si="34"/>
        <v/>
      </c>
      <c r="AX49" s="21" t="str">
        <f t="shared" si="48"/>
        <v/>
      </c>
      <c r="AY49" s="7" t="str">
        <f t="shared" si="35"/>
        <v/>
      </c>
      <c r="AZ49" s="7" t="str">
        <f t="shared" si="36"/>
        <v/>
      </c>
    </row>
    <row r="50" spans="1:52" ht="13.2">
      <c r="A50" s="7" t="str">
        <f>HIDDEN!H49</f>
        <v/>
      </c>
      <c r="B50" s="7" t="str">
        <f>IFERROR(MATCH(A50,'3)PACIENTES'!$A$2:$A$97,0),"")</f>
        <v/>
      </c>
      <c r="C50" s="24" t="str">
        <f>IFERROR(INDEX('3)PACIENTES'!D$2:D$97,SAMPLES!$B50),"")</f>
        <v/>
      </c>
      <c r="D50" s="24" t="str">
        <f>IFERROR(INDEX('3)PACIENTES'!B$2:B$97,SAMPLES!$B50),"")</f>
        <v/>
      </c>
      <c r="E50" s="24" t="str">
        <f>IFERROR(INDEX('3)PACIENTES'!$C$2:$C142,SAMPLES!$B50),"")</f>
        <v/>
      </c>
      <c r="F50" s="22">
        <f>'3)PACIENTES'!$F$2</f>
        <v>44039</v>
      </c>
      <c r="G50" s="13" t="str">
        <f>IFERROR(INDEX('3)PACIENTES'!E$2:E$97,SAMPLES!$B50),"")</f>
        <v/>
      </c>
      <c r="H50" s="17" t="str">
        <f t="shared" si="0"/>
        <v/>
      </c>
      <c r="I50" s="17" t="str">
        <f t="shared" si="20"/>
        <v/>
      </c>
      <c r="J50" s="32" t="str">
        <f t="array" ref="J50">IFERROR(INDEX('1)qPCR'!$E$2:$E$97,MATCH(INDEX(HIDDEN!$C$1:$C$96,SMALL(IF(HIDDEN!$B$1:$B$96=$A50&amp;";"&amp;J$1,ROW(HIDDEN!$B$1:$B$96)-ROW(INDEX(HIDDEN!$B$1:$B$96,1,1))+1),J$2)),'1)qPCR'!$A$2:$A$97,0)),"")</f>
        <v/>
      </c>
      <c r="K50" s="32" t="str">
        <f t="array" ref="K50">IFERROR(INDEX('1)qPCR'!$E$2:$E$97,MATCH(INDEX(HIDDEN!$C$1:$C$96,SMALL(IF(HIDDEN!$B$1:$B$96=$A50&amp;";"&amp;K$1,ROW(HIDDEN!$B$1:$B$96)-ROW(INDEX(HIDDEN!$B$1:$B$96,1,1))+1),K$2)),'1)qPCR'!$A$2:$A$97,0)),"")</f>
        <v/>
      </c>
      <c r="L50" s="32" t="str">
        <f t="array" ref="L50">IFERROR(INDEX('1)qPCR'!$E$2:$E$97,MATCH(INDEX(HIDDEN!$C$1:$C$96,SMALL(IF(HIDDEN!$B$1:$B$96=$A50&amp;";"&amp;L$1,ROW(HIDDEN!$B$1:$B$96)-ROW(INDEX(HIDDEN!$B$1:$B$96,1,1))+1),L$2)),'1)qPCR'!$A$2:$A$97,0)),"")</f>
        <v/>
      </c>
      <c r="M50" s="32" t="str">
        <f t="array" ref="M50">IFERROR(INDEX('1)qPCR'!$E$2:$E$97,MATCH(INDEX(HIDDEN!$C$1:$C$96,SMALL(IF(HIDDEN!$B$1:$B$96=$A50&amp;";"&amp;M$1,ROW(HIDDEN!$B$1:$B$96)-ROW(INDEX(HIDDEN!$B$1:$B$96,1,1))+1),M$2)),'1)qPCR'!$A$2:$A$97,0)),"")</f>
        <v/>
      </c>
      <c r="N50" s="32" t="str">
        <f t="array" ref="N50">IFERROR(INDEX('1)qPCR'!$E$2:$E$97,MATCH(INDEX(HIDDEN!$C$1:$C$96,SMALL(IF(HIDDEN!$B$1:$B$96=$A50&amp;";"&amp;N$1,ROW(HIDDEN!$B$1:$B$96)-ROW(INDEX(HIDDEN!$B$1:$B$96,1,1))+1),N$2)),'1)qPCR'!$A$2:$A$97,0)),"")</f>
        <v/>
      </c>
      <c r="O50" s="32" t="str">
        <f t="array" ref="O50">IFERROR(INDEX('1)qPCR'!$E$2:$E$97,MATCH(INDEX(HIDDEN!$C$1:$C$96,SMALL(IF(HIDDEN!$B$1:$B$96=$A50&amp;";"&amp;O$1,ROW(HIDDEN!$B$1:$B$96)-ROW(INDEX(HIDDEN!$B$1:$B$96,1,1))+1),O$2)),'1)qPCR'!$A$2:$A$97,0)),"")</f>
        <v/>
      </c>
      <c r="P50" s="7" t="str">
        <f t="shared" si="41"/>
        <v/>
      </c>
      <c r="Q50" s="18" t="str">
        <f>IFERROR(P50/H50,"")</f>
        <v/>
      </c>
      <c r="R50" s="7" t="str">
        <f t="shared" si="42"/>
        <v/>
      </c>
      <c r="S50" s="18" t="str">
        <f>IFERROR(R50/I50,"")</f>
        <v/>
      </c>
      <c r="T50" s="10" t="str">
        <f>IFERROR(H50-$H$3,"")</f>
        <v/>
      </c>
      <c r="U50" s="10" t="str">
        <f t="shared" si="22"/>
        <v/>
      </c>
      <c r="V50" s="17" t="str">
        <f t="shared" si="23"/>
        <v/>
      </c>
      <c r="W50" s="17" t="str">
        <f t="shared" si="24"/>
        <v/>
      </c>
      <c r="X50" s="17" t="str">
        <f t="shared" si="37"/>
        <v/>
      </c>
      <c r="Y50" s="17" t="str">
        <f t="shared" si="38"/>
        <v/>
      </c>
      <c r="Z50" s="17" t="str">
        <f t="shared" si="6"/>
        <v/>
      </c>
      <c r="AA50" s="17" t="str">
        <f t="shared" si="7"/>
        <v/>
      </c>
      <c r="AB50" s="17" t="str">
        <f t="shared" si="39"/>
        <v/>
      </c>
      <c r="AC50" s="17" t="str">
        <f t="shared" si="40"/>
        <v/>
      </c>
      <c r="AD50" s="17" t="str">
        <f t="shared" si="10"/>
        <v/>
      </c>
      <c r="AE50" s="17" t="str">
        <f t="shared" si="11"/>
        <v/>
      </c>
      <c r="AF50" s="17" t="str">
        <f t="shared" si="12"/>
        <v/>
      </c>
      <c r="AG50" s="17">
        <f t="shared" si="26"/>
        <v>0</v>
      </c>
      <c r="AH50" s="17">
        <f t="shared" si="13"/>
        <v>0</v>
      </c>
      <c r="AI50" s="17">
        <f t="shared" si="27"/>
        <v>0</v>
      </c>
      <c r="AJ50" s="17" t="str">
        <f>IF(AP50="","",IF(AP50&lt;=RANGES!$A$8,1,IF(AP50&lt;=RANGES!$A$9,2,IF(AP50&lt;=RANGES!$A$10,3,IF(AP50&lt;=RANGES!$A$11,4,IF(AP50&lt;=RANGES!$A$12,5,IF(AP50&lt;=RANGES!$A$13,6,IF(AP50&lt;=RANGES!$A$14,7,8))))))))</f>
        <v/>
      </c>
      <c r="AK50" s="17" t="str">
        <f ca="1">IFERROR(INDEX(RANGES!$C$7:$H$7,1,IF(AO50&lt;=INDIRECT("RANGES!C"&amp;7+AJ50),1,IF(AO50&lt;=INDIRECT("RANGES!D"&amp;7+AJ50),2,IF(AO50&lt;=INDIRECT("RANGES!E"&amp;7+AJ50),3,IF(AO50&lt;=INDIRECT("RANGES!F"&amp;7+AJ50),4,IF(AO50&lt;=INDIRECT("RANGES!G"&amp;7+AJ50),5,6)))))),"")</f>
        <v/>
      </c>
      <c r="AL50" s="17">
        <f t="shared" si="43"/>
        <v>0</v>
      </c>
      <c r="AM50" s="17" t="str">
        <f t="shared" si="44"/>
        <v/>
      </c>
      <c r="AN50" s="17" t="str">
        <f t="shared" si="28"/>
        <v/>
      </c>
      <c r="AO50" s="17" t="str">
        <f t="shared" si="29"/>
        <v/>
      </c>
      <c r="AP50" s="17" t="str">
        <f t="shared" si="45"/>
        <v/>
      </c>
      <c r="AQ50" s="17" t="str">
        <f t="shared" si="30"/>
        <v/>
      </c>
      <c r="AR50" s="17" t="str">
        <f t="shared" si="31"/>
        <v/>
      </c>
      <c r="AS50" s="17" t="str">
        <f t="shared" si="32"/>
        <v/>
      </c>
      <c r="AT50" s="7" t="str">
        <f t="shared" si="46"/>
        <v/>
      </c>
      <c r="AU50" s="10" t="str">
        <f t="shared" si="33"/>
        <v/>
      </c>
      <c r="AV50" s="7" t="str">
        <f t="shared" si="47"/>
        <v/>
      </c>
      <c r="AW50" s="21" t="str">
        <f t="shared" si="34"/>
        <v/>
      </c>
      <c r="AX50" s="21" t="str">
        <f t="shared" si="48"/>
        <v/>
      </c>
      <c r="AY50" s="7" t="str">
        <f t="shared" si="35"/>
        <v/>
      </c>
      <c r="AZ50" s="7" t="str">
        <f t="shared" si="36"/>
        <v/>
      </c>
    </row>
    <row r="51" spans="1:52" ht="13.2">
      <c r="A51" s="7" t="str">
        <f>HIDDEN!H50</f>
        <v/>
      </c>
      <c r="B51" s="7" t="str">
        <f>IFERROR(MATCH(A51,'3)PACIENTES'!$A$2:$A$97,0),"")</f>
        <v/>
      </c>
      <c r="C51" s="24" t="str">
        <f>IFERROR(INDEX('3)PACIENTES'!D$2:D$97,SAMPLES!$B51),"")</f>
        <v/>
      </c>
      <c r="D51" s="24" t="str">
        <f>IFERROR(INDEX('3)PACIENTES'!B$2:B$97,SAMPLES!$B51),"")</f>
        <v/>
      </c>
      <c r="E51" s="24" t="str">
        <f>IFERROR(INDEX('3)PACIENTES'!$C$2:$C143,SAMPLES!$B51),"")</f>
        <v/>
      </c>
      <c r="F51" s="22">
        <f>'3)PACIENTES'!$F$2</f>
        <v>44039</v>
      </c>
      <c r="G51" s="13" t="str">
        <f>IFERROR(INDEX('3)PACIENTES'!E$2:E$97,SAMPLES!$B51),"")</f>
        <v/>
      </c>
      <c r="H51" s="17" t="str">
        <f t="shared" si="0"/>
        <v/>
      </c>
      <c r="I51" s="17" t="str">
        <f t="shared" si="20"/>
        <v/>
      </c>
      <c r="J51" s="32" t="str">
        <f t="array" ref="J51">IFERROR(INDEX('1)qPCR'!$E$2:$E$97,MATCH(INDEX(HIDDEN!$C$1:$C$96,SMALL(IF(HIDDEN!$B$1:$B$96=$A51&amp;";"&amp;J$1,ROW(HIDDEN!$B$1:$B$96)-ROW(INDEX(HIDDEN!$B$1:$B$96,1,1))+1),J$2)),'1)qPCR'!$A$2:$A$97,0)),"")</f>
        <v/>
      </c>
      <c r="K51" s="32" t="str">
        <f t="array" ref="K51">IFERROR(INDEX('1)qPCR'!$E$2:$E$97,MATCH(INDEX(HIDDEN!$C$1:$C$96,SMALL(IF(HIDDEN!$B$1:$B$96=$A51&amp;";"&amp;K$1,ROW(HIDDEN!$B$1:$B$96)-ROW(INDEX(HIDDEN!$B$1:$B$96,1,1))+1),K$2)),'1)qPCR'!$A$2:$A$97,0)),"")</f>
        <v/>
      </c>
      <c r="L51" s="32" t="str">
        <f t="array" ref="L51">IFERROR(INDEX('1)qPCR'!$E$2:$E$97,MATCH(INDEX(HIDDEN!$C$1:$C$96,SMALL(IF(HIDDEN!$B$1:$B$96=$A51&amp;";"&amp;L$1,ROW(HIDDEN!$B$1:$B$96)-ROW(INDEX(HIDDEN!$B$1:$B$96,1,1))+1),L$2)),'1)qPCR'!$A$2:$A$97,0)),"")</f>
        <v/>
      </c>
      <c r="M51" s="32" t="str">
        <f t="array" ref="M51">IFERROR(INDEX('1)qPCR'!$E$2:$E$97,MATCH(INDEX(HIDDEN!$C$1:$C$96,SMALL(IF(HIDDEN!$B$1:$B$96=$A51&amp;";"&amp;M$1,ROW(HIDDEN!$B$1:$B$96)-ROW(INDEX(HIDDEN!$B$1:$B$96,1,1))+1),M$2)),'1)qPCR'!$A$2:$A$97,0)),"")</f>
        <v/>
      </c>
      <c r="N51" s="32" t="str">
        <f t="array" ref="N51">IFERROR(INDEX('1)qPCR'!$E$2:$E$97,MATCH(INDEX(HIDDEN!$C$1:$C$96,SMALL(IF(HIDDEN!$B$1:$B$96=$A51&amp;";"&amp;N$1,ROW(HIDDEN!$B$1:$B$96)-ROW(INDEX(HIDDEN!$B$1:$B$96,1,1))+1),N$2)),'1)qPCR'!$A$2:$A$97,0)),"")</f>
        <v/>
      </c>
      <c r="O51" s="32" t="str">
        <f t="array" ref="O51">IFERROR(INDEX('1)qPCR'!$E$2:$E$97,MATCH(INDEX(HIDDEN!$C$1:$C$96,SMALL(IF(HIDDEN!$B$1:$B$96=$A51&amp;";"&amp;O$1,ROW(HIDDEN!$B$1:$B$96)-ROW(INDEX(HIDDEN!$B$1:$B$96,1,1))+1),O$2)),'1)qPCR'!$A$2:$A$97,0)),"")</f>
        <v/>
      </c>
      <c r="P51" s="7" t="str">
        <f t="shared" si="41"/>
        <v/>
      </c>
      <c r="Q51" s="18" t="str">
        <f>IFERROR(P51/H51,"")</f>
        <v/>
      </c>
      <c r="R51" s="7" t="str">
        <f t="shared" si="42"/>
        <v/>
      </c>
      <c r="S51" s="18" t="str">
        <f>IFERROR(R51/I51,"")</f>
        <v/>
      </c>
      <c r="T51" s="10" t="str">
        <f>IFERROR(H51-$H$3,"")</f>
        <v/>
      </c>
      <c r="U51" s="10" t="str">
        <f t="shared" si="22"/>
        <v/>
      </c>
      <c r="V51" s="17" t="str">
        <f t="shared" si="23"/>
        <v/>
      </c>
      <c r="W51" s="17" t="str">
        <f t="shared" si="24"/>
        <v/>
      </c>
      <c r="X51" s="17" t="str">
        <f t="shared" ref="X51:X99" si="49">IFERROR(695*W51,"")</f>
        <v/>
      </c>
      <c r="Y51" s="17" t="str">
        <f t="shared" ref="Y51:Y99" si="50">IFERROR(16*W51,"")</f>
        <v/>
      </c>
      <c r="Z51" s="17" t="str">
        <f t="shared" si="6"/>
        <v/>
      </c>
      <c r="AA51" s="17" t="str">
        <f t="shared" si="7"/>
        <v/>
      </c>
      <c r="AB51" s="17" t="str">
        <f t="shared" ref="AB51:AB99" si="51">IFERROR(Z51-AA51,"")</f>
        <v/>
      </c>
      <c r="AC51" s="17" t="str">
        <f t="shared" ref="AC51:AC99" si="52">IFERROR(Z51+AA51,"")</f>
        <v/>
      </c>
      <c r="AD51" s="17" t="str">
        <f t="shared" si="10"/>
        <v/>
      </c>
      <c r="AE51" s="17" t="str">
        <f t="shared" si="11"/>
        <v/>
      </c>
      <c r="AF51" s="17" t="str">
        <f t="shared" si="12"/>
        <v/>
      </c>
      <c r="AG51" s="17">
        <f t="shared" si="26"/>
        <v>0</v>
      </c>
      <c r="AH51" s="17">
        <f t="shared" si="13"/>
        <v>0</v>
      </c>
      <c r="AI51" s="17">
        <f t="shared" si="27"/>
        <v>0</v>
      </c>
      <c r="AJ51" s="17" t="str">
        <f>IF(AP51="","",IF(AP51&lt;=RANGES!$A$8,1,IF(AP51&lt;=RANGES!$A$9,2,IF(AP51&lt;=RANGES!$A$10,3,IF(AP51&lt;=RANGES!$A$11,4,IF(AP51&lt;=RANGES!$A$12,5,IF(AP51&lt;=RANGES!$A$13,6,IF(AP51&lt;=RANGES!$A$14,7,8))))))))</f>
        <v/>
      </c>
      <c r="AK51" s="17" t="str">
        <f ca="1">IFERROR(INDEX(RANGES!$C$7:$H$7,1,IF(AO51&lt;=INDIRECT("RANGES!C"&amp;7+AJ51),1,IF(AO51&lt;=INDIRECT("RANGES!D"&amp;7+AJ51),2,IF(AO51&lt;=INDIRECT("RANGES!E"&amp;7+AJ51),3,IF(AO51&lt;=INDIRECT("RANGES!F"&amp;7+AJ51),4,IF(AO51&lt;=INDIRECT("RANGES!G"&amp;7+AJ51),5,6)))))),"")</f>
        <v/>
      </c>
      <c r="AL51" s="17">
        <f t="shared" si="43"/>
        <v>0</v>
      </c>
      <c r="AM51" s="17" t="str">
        <f t="shared" si="44"/>
        <v/>
      </c>
      <c r="AN51" s="17" t="str">
        <f t="shared" si="28"/>
        <v/>
      </c>
      <c r="AO51" s="17" t="str">
        <f t="shared" si="29"/>
        <v/>
      </c>
      <c r="AP51" s="17" t="str">
        <f t="shared" si="45"/>
        <v/>
      </c>
      <c r="AQ51" s="17" t="str">
        <f t="shared" si="30"/>
        <v/>
      </c>
      <c r="AR51" s="17" t="str">
        <f t="shared" si="31"/>
        <v/>
      </c>
      <c r="AS51" s="17" t="str">
        <f t="shared" si="32"/>
        <v/>
      </c>
      <c r="AT51" s="7" t="str">
        <f t="shared" si="46"/>
        <v/>
      </c>
      <c r="AU51" s="10" t="str">
        <f t="shared" si="33"/>
        <v/>
      </c>
      <c r="AV51" s="7" t="str">
        <f t="shared" si="47"/>
        <v/>
      </c>
      <c r="AW51" s="21" t="str">
        <f t="shared" si="34"/>
        <v/>
      </c>
      <c r="AX51" s="21" t="str">
        <f t="shared" si="48"/>
        <v/>
      </c>
      <c r="AY51" s="7" t="str">
        <f t="shared" si="35"/>
        <v/>
      </c>
      <c r="AZ51" s="7" t="str">
        <f t="shared" si="36"/>
        <v/>
      </c>
    </row>
    <row r="52" spans="1:52" ht="13.2">
      <c r="A52" s="7" t="str">
        <f>HIDDEN!H51</f>
        <v/>
      </c>
      <c r="B52" s="7" t="str">
        <f>IFERROR(MATCH(A52,'3)PACIENTES'!$A$2:$A$97,0),"")</f>
        <v/>
      </c>
      <c r="C52" s="24" t="str">
        <f>IFERROR(INDEX('3)PACIENTES'!D$2:D$97,SAMPLES!$B52),"")</f>
        <v/>
      </c>
      <c r="D52" s="24" t="str">
        <f>IFERROR(INDEX('3)PACIENTES'!B$2:B$97,SAMPLES!$B52),"")</f>
        <v/>
      </c>
      <c r="E52" s="24" t="str">
        <f>IFERROR(INDEX('3)PACIENTES'!$C$2:$C144,SAMPLES!$B52),"")</f>
        <v/>
      </c>
      <c r="F52" s="22">
        <f>'3)PACIENTES'!$F$2</f>
        <v>44039</v>
      </c>
      <c r="G52" s="13" t="str">
        <f>IFERROR(INDEX('3)PACIENTES'!E$2:E$97,SAMPLES!$B52),"")</f>
        <v/>
      </c>
      <c r="H52" s="17" t="str">
        <f t="shared" si="0"/>
        <v/>
      </c>
      <c r="I52" s="17" t="str">
        <f t="shared" si="20"/>
        <v/>
      </c>
      <c r="J52" s="32" t="str">
        <f t="array" ref="J52">IFERROR(INDEX('1)qPCR'!$E$2:$E$97,MATCH(INDEX(HIDDEN!$C$1:$C$96,SMALL(IF(HIDDEN!$B$1:$B$96=$A52&amp;";"&amp;J$1,ROW(HIDDEN!$B$1:$B$96)-ROW(INDEX(HIDDEN!$B$1:$B$96,1,1))+1),J$2)),'1)qPCR'!$A$2:$A$97,0)),"")</f>
        <v/>
      </c>
      <c r="K52" s="32" t="str">
        <f t="array" ref="K52">IFERROR(INDEX('1)qPCR'!$E$2:$E$97,MATCH(INDEX(HIDDEN!$C$1:$C$96,SMALL(IF(HIDDEN!$B$1:$B$96=$A52&amp;";"&amp;K$1,ROW(HIDDEN!$B$1:$B$96)-ROW(INDEX(HIDDEN!$B$1:$B$96,1,1))+1),K$2)),'1)qPCR'!$A$2:$A$97,0)),"")</f>
        <v/>
      </c>
      <c r="L52" s="32" t="str">
        <f t="array" ref="L52">IFERROR(INDEX('1)qPCR'!$E$2:$E$97,MATCH(INDEX(HIDDEN!$C$1:$C$96,SMALL(IF(HIDDEN!$B$1:$B$96=$A52&amp;";"&amp;L$1,ROW(HIDDEN!$B$1:$B$96)-ROW(INDEX(HIDDEN!$B$1:$B$96,1,1))+1),L$2)),'1)qPCR'!$A$2:$A$97,0)),"")</f>
        <v/>
      </c>
      <c r="M52" s="32" t="str">
        <f t="array" ref="M52">IFERROR(INDEX('1)qPCR'!$E$2:$E$97,MATCH(INDEX(HIDDEN!$C$1:$C$96,SMALL(IF(HIDDEN!$B$1:$B$96=$A52&amp;";"&amp;M$1,ROW(HIDDEN!$B$1:$B$96)-ROW(INDEX(HIDDEN!$B$1:$B$96,1,1))+1),M$2)),'1)qPCR'!$A$2:$A$97,0)),"")</f>
        <v/>
      </c>
      <c r="N52" s="32" t="str">
        <f t="array" ref="N52">IFERROR(INDEX('1)qPCR'!$E$2:$E$97,MATCH(INDEX(HIDDEN!$C$1:$C$96,SMALL(IF(HIDDEN!$B$1:$B$96=$A52&amp;";"&amp;N$1,ROW(HIDDEN!$B$1:$B$96)-ROW(INDEX(HIDDEN!$B$1:$B$96,1,1))+1),N$2)),'1)qPCR'!$A$2:$A$97,0)),"")</f>
        <v/>
      </c>
      <c r="O52" s="32" t="str">
        <f t="array" ref="O52">IFERROR(INDEX('1)qPCR'!$E$2:$E$97,MATCH(INDEX(HIDDEN!$C$1:$C$96,SMALL(IF(HIDDEN!$B$1:$B$96=$A52&amp;";"&amp;O$1,ROW(HIDDEN!$B$1:$B$96)-ROW(INDEX(HIDDEN!$B$1:$B$96,1,1))+1),O$2)),'1)qPCR'!$A$2:$A$97,0)),"")</f>
        <v/>
      </c>
      <c r="P52" s="7" t="str">
        <f t="shared" si="41"/>
        <v/>
      </c>
      <c r="Q52" s="18" t="str">
        <f>IFERROR(P52/H52,"")</f>
        <v/>
      </c>
      <c r="R52" s="7" t="str">
        <f t="shared" si="42"/>
        <v/>
      </c>
      <c r="S52" s="18" t="str">
        <f>IFERROR(R52/I52,"")</f>
        <v/>
      </c>
      <c r="T52" s="10" t="str">
        <f>IFERROR(H52-$H$3,"")</f>
        <v/>
      </c>
      <c r="U52" s="10" t="str">
        <f t="shared" si="22"/>
        <v/>
      </c>
      <c r="V52" s="17" t="str">
        <f t="shared" si="23"/>
        <v/>
      </c>
      <c r="W52" s="17" t="str">
        <f t="shared" si="24"/>
        <v/>
      </c>
      <c r="X52" s="17" t="str">
        <f t="shared" si="49"/>
        <v/>
      </c>
      <c r="Y52" s="17" t="str">
        <f t="shared" si="50"/>
        <v/>
      </c>
      <c r="Z52" s="17" t="str">
        <f t="shared" si="6"/>
        <v/>
      </c>
      <c r="AA52" s="17" t="str">
        <f t="shared" si="7"/>
        <v/>
      </c>
      <c r="AB52" s="17" t="str">
        <f t="shared" si="51"/>
        <v/>
      </c>
      <c r="AC52" s="17" t="str">
        <f t="shared" si="52"/>
        <v/>
      </c>
      <c r="AD52" s="17" t="str">
        <f t="shared" si="10"/>
        <v/>
      </c>
      <c r="AE52" s="17" t="str">
        <f t="shared" si="11"/>
        <v/>
      </c>
      <c r="AF52" s="17" t="str">
        <f t="shared" si="12"/>
        <v/>
      </c>
      <c r="AG52" s="17">
        <f t="shared" si="26"/>
        <v>0</v>
      </c>
      <c r="AH52" s="17">
        <f t="shared" si="13"/>
        <v>0</v>
      </c>
      <c r="AI52" s="17">
        <f t="shared" si="27"/>
        <v>0</v>
      </c>
      <c r="AJ52" s="17" t="str">
        <f>IF(AP52="","",IF(AP52&lt;=RANGES!$A$8,1,IF(AP52&lt;=RANGES!$A$9,2,IF(AP52&lt;=RANGES!$A$10,3,IF(AP52&lt;=RANGES!$A$11,4,IF(AP52&lt;=RANGES!$A$12,5,IF(AP52&lt;=RANGES!$A$13,6,IF(AP52&lt;=RANGES!$A$14,7,8))))))))</f>
        <v/>
      </c>
      <c r="AK52" s="17" t="str">
        <f ca="1">IFERROR(INDEX(RANGES!$C$7:$H$7,1,IF(AO52&lt;=INDIRECT("RANGES!C"&amp;7+AJ52),1,IF(AO52&lt;=INDIRECT("RANGES!D"&amp;7+AJ52),2,IF(AO52&lt;=INDIRECT("RANGES!E"&amp;7+AJ52),3,IF(AO52&lt;=INDIRECT("RANGES!F"&amp;7+AJ52),4,IF(AO52&lt;=INDIRECT("RANGES!G"&amp;7+AJ52),5,6)))))),"")</f>
        <v/>
      </c>
      <c r="AL52" s="17">
        <f t="shared" si="43"/>
        <v>0</v>
      </c>
      <c r="AM52" s="17" t="str">
        <f t="shared" si="44"/>
        <v/>
      </c>
      <c r="AN52" s="17" t="str">
        <f t="shared" si="28"/>
        <v/>
      </c>
      <c r="AO52" s="17" t="str">
        <f t="shared" si="29"/>
        <v/>
      </c>
      <c r="AP52" s="17" t="str">
        <f t="shared" si="45"/>
        <v/>
      </c>
      <c r="AQ52" s="17" t="str">
        <f t="shared" si="30"/>
        <v/>
      </c>
      <c r="AR52" s="17" t="str">
        <f t="shared" si="31"/>
        <v/>
      </c>
      <c r="AS52" s="17" t="str">
        <f t="shared" si="32"/>
        <v/>
      </c>
      <c r="AT52" s="7" t="str">
        <f t="shared" si="46"/>
        <v/>
      </c>
      <c r="AU52" s="10" t="str">
        <f t="shared" si="33"/>
        <v/>
      </c>
      <c r="AV52" s="7" t="str">
        <f t="shared" si="47"/>
        <v/>
      </c>
      <c r="AW52" s="21" t="str">
        <f t="shared" si="34"/>
        <v/>
      </c>
      <c r="AX52" s="21" t="str">
        <f t="shared" si="48"/>
        <v/>
      </c>
      <c r="AY52" s="7" t="str">
        <f t="shared" si="35"/>
        <v/>
      </c>
      <c r="AZ52" s="7" t="str">
        <f t="shared" si="36"/>
        <v/>
      </c>
    </row>
    <row r="53" spans="1:52" ht="13.2">
      <c r="A53" s="7" t="str">
        <f>HIDDEN!H52</f>
        <v/>
      </c>
      <c r="B53" s="7" t="str">
        <f>IFERROR(MATCH(A53,'3)PACIENTES'!$A$2:$A$97,0),"")</f>
        <v/>
      </c>
      <c r="C53" s="24" t="str">
        <f>IFERROR(INDEX('3)PACIENTES'!D$2:D$97,SAMPLES!$B53),"")</f>
        <v/>
      </c>
      <c r="D53" s="24" t="str">
        <f>IFERROR(INDEX('3)PACIENTES'!B$2:B$97,SAMPLES!$B53),"")</f>
        <v/>
      </c>
      <c r="E53" s="24" t="str">
        <f>IFERROR(INDEX('3)PACIENTES'!$C$2:$C145,SAMPLES!$B53),"")</f>
        <v/>
      </c>
      <c r="F53" s="22">
        <f>'3)PACIENTES'!$F$2</f>
        <v>44039</v>
      </c>
      <c r="G53" s="13" t="str">
        <f>IFERROR(INDEX('3)PACIENTES'!E$2:E$97,SAMPLES!$B53),"")</f>
        <v/>
      </c>
      <c r="H53" s="17" t="str">
        <f t="shared" si="0"/>
        <v/>
      </c>
      <c r="I53" s="17" t="str">
        <f t="shared" si="20"/>
        <v/>
      </c>
      <c r="J53" s="32" t="str">
        <f t="array" ref="J53">IFERROR(INDEX('1)qPCR'!$E$2:$E$97,MATCH(INDEX(HIDDEN!$C$1:$C$96,SMALL(IF(HIDDEN!$B$1:$B$96=$A53&amp;";"&amp;J$1,ROW(HIDDEN!$B$1:$B$96)-ROW(INDEX(HIDDEN!$B$1:$B$96,1,1))+1),J$2)),'1)qPCR'!$A$2:$A$97,0)),"")</f>
        <v/>
      </c>
      <c r="K53" s="32" t="str">
        <f t="array" ref="K53">IFERROR(INDEX('1)qPCR'!$E$2:$E$97,MATCH(INDEX(HIDDEN!$C$1:$C$96,SMALL(IF(HIDDEN!$B$1:$B$96=$A53&amp;";"&amp;K$1,ROW(HIDDEN!$B$1:$B$96)-ROW(INDEX(HIDDEN!$B$1:$B$96,1,1))+1),K$2)),'1)qPCR'!$A$2:$A$97,0)),"")</f>
        <v/>
      </c>
      <c r="L53" s="32" t="str">
        <f t="array" ref="L53">IFERROR(INDEX('1)qPCR'!$E$2:$E$97,MATCH(INDEX(HIDDEN!$C$1:$C$96,SMALL(IF(HIDDEN!$B$1:$B$96=$A53&amp;";"&amp;L$1,ROW(HIDDEN!$B$1:$B$96)-ROW(INDEX(HIDDEN!$B$1:$B$96,1,1))+1),L$2)),'1)qPCR'!$A$2:$A$97,0)),"")</f>
        <v/>
      </c>
      <c r="M53" s="32" t="str">
        <f t="array" ref="M53">IFERROR(INDEX('1)qPCR'!$E$2:$E$97,MATCH(INDEX(HIDDEN!$C$1:$C$96,SMALL(IF(HIDDEN!$B$1:$B$96=$A53&amp;";"&amp;M$1,ROW(HIDDEN!$B$1:$B$96)-ROW(INDEX(HIDDEN!$B$1:$B$96,1,1))+1),M$2)),'1)qPCR'!$A$2:$A$97,0)),"")</f>
        <v/>
      </c>
      <c r="N53" s="32" t="str">
        <f t="array" ref="N53">IFERROR(INDEX('1)qPCR'!$E$2:$E$97,MATCH(INDEX(HIDDEN!$C$1:$C$96,SMALL(IF(HIDDEN!$B$1:$B$96=$A53&amp;";"&amp;N$1,ROW(HIDDEN!$B$1:$B$96)-ROW(INDEX(HIDDEN!$B$1:$B$96,1,1))+1),N$2)),'1)qPCR'!$A$2:$A$97,0)),"")</f>
        <v/>
      </c>
      <c r="O53" s="32" t="str">
        <f t="array" ref="O53">IFERROR(INDEX('1)qPCR'!$E$2:$E$97,MATCH(INDEX(HIDDEN!$C$1:$C$96,SMALL(IF(HIDDEN!$B$1:$B$96=$A53&amp;";"&amp;O$1,ROW(HIDDEN!$B$1:$B$96)-ROW(INDEX(HIDDEN!$B$1:$B$96,1,1))+1),O$2)),'1)qPCR'!$A$2:$A$97,0)),"")</f>
        <v/>
      </c>
      <c r="P53" s="7" t="str">
        <f t="shared" si="41"/>
        <v/>
      </c>
      <c r="Q53" s="18" t="str">
        <f t="shared" ref="Q53:Q59" si="53">IFERROR(P53/H53,"")</f>
        <v/>
      </c>
      <c r="R53" s="7" t="str">
        <f t="shared" si="42"/>
        <v/>
      </c>
      <c r="S53" s="18" t="str">
        <f t="shared" ref="S53:S59" si="54">IFERROR(R53/I53,"")</f>
        <v/>
      </c>
      <c r="T53" s="10" t="str">
        <f t="shared" ref="T53:T59" si="55">IFERROR(H53-$H$3,"")</f>
        <v/>
      </c>
      <c r="U53" s="10" t="str">
        <f t="shared" si="22"/>
        <v/>
      </c>
      <c r="V53" s="17" t="str">
        <f t="shared" si="23"/>
        <v/>
      </c>
      <c r="W53" s="17" t="str">
        <f t="shared" si="24"/>
        <v/>
      </c>
      <c r="X53" s="17" t="str">
        <f t="shared" si="49"/>
        <v/>
      </c>
      <c r="Y53" s="17" t="str">
        <f t="shared" si="50"/>
        <v/>
      </c>
      <c r="Z53" s="17" t="str">
        <f t="shared" si="6"/>
        <v/>
      </c>
      <c r="AA53" s="17" t="str">
        <f t="shared" si="7"/>
        <v/>
      </c>
      <c r="AB53" s="17" t="str">
        <f t="shared" si="51"/>
        <v/>
      </c>
      <c r="AC53" s="17" t="str">
        <f t="shared" si="52"/>
        <v/>
      </c>
      <c r="AD53" s="17" t="str">
        <f t="shared" si="10"/>
        <v/>
      </c>
      <c r="AE53" s="17" t="str">
        <f t="shared" si="11"/>
        <v/>
      </c>
      <c r="AF53" s="17" t="str">
        <f t="shared" si="12"/>
        <v/>
      </c>
      <c r="AG53" s="17">
        <f t="shared" si="26"/>
        <v>0</v>
      </c>
      <c r="AH53" s="17">
        <f t="shared" si="13"/>
        <v>0</v>
      </c>
      <c r="AI53" s="17">
        <f t="shared" si="27"/>
        <v>0</v>
      </c>
      <c r="AJ53" s="17" t="str">
        <f>IF(AP53="","",IF(AP53&lt;=RANGES!$A$8,1,IF(AP53&lt;=RANGES!$A$9,2,IF(AP53&lt;=RANGES!$A$10,3,IF(AP53&lt;=RANGES!$A$11,4,IF(AP53&lt;=RANGES!$A$12,5,IF(AP53&lt;=RANGES!$A$13,6,IF(AP53&lt;=RANGES!$A$14,7,8))))))))</f>
        <v/>
      </c>
      <c r="AK53" s="17" t="str">
        <f ca="1">IFERROR(INDEX(RANGES!$C$7:$H$7,1,IF(AO53&lt;=INDIRECT("RANGES!C"&amp;7+AJ53),1,IF(AO53&lt;=INDIRECT("RANGES!D"&amp;7+AJ53),2,IF(AO53&lt;=INDIRECT("RANGES!E"&amp;7+AJ53),3,IF(AO53&lt;=INDIRECT("RANGES!F"&amp;7+AJ53),4,IF(AO53&lt;=INDIRECT("RANGES!G"&amp;7+AJ53),5,6)))))),"")</f>
        <v/>
      </c>
      <c r="AL53" s="17">
        <f t="shared" si="43"/>
        <v>0</v>
      </c>
      <c r="AM53" s="17" t="str">
        <f t="shared" si="44"/>
        <v/>
      </c>
      <c r="AN53" s="17" t="str">
        <f t="shared" si="28"/>
        <v/>
      </c>
      <c r="AO53" s="17" t="str">
        <f t="shared" si="29"/>
        <v/>
      </c>
      <c r="AP53" s="17" t="str">
        <f t="shared" si="45"/>
        <v/>
      </c>
      <c r="AQ53" s="17" t="str">
        <f t="shared" si="30"/>
        <v/>
      </c>
      <c r="AR53" s="17" t="str">
        <f t="shared" si="31"/>
        <v/>
      </c>
      <c r="AS53" s="17" t="str">
        <f t="shared" si="32"/>
        <v/>
      </c>
      <c r="AT53" s="7" t="str">
        <f t="shared" si="46"/>
        <v/>
      </c>
      <c r="AU53" s="10" t="str">
        <f t="shared" si="33"/>
        <v/>
      </c>
      <c r="AV53" s="7" t="str">
        <f t="shared" si="47"/>
        <v/>
      </c>
      <c r="AW53" s="21" t="str">
        <f t="shared" si="34"/>
        <v/>
      </c>
      <c r="AX53" s="21" t="str">
        <f t="shared" si="48"/>
        <v/>
      </c>
      <c r="AY53" s="7" t="str">
        <f t="shared" si="35"/>
        <v/>
      </c>
      <c r="AZ53" s="7" t="str">
        <f t="shared" si="36"/>
        <v/>
      </c>
    </row>
    <row r="54" spans="1:52" ht="13.2">
      <c r="A54" s="7" t="str">
        <f>HIDDEN!H53</f>
        <v/>
      </c>
      <c r="B54" s="7" t="str">
        <f>IFERROR(MATCH(A54,'3)PACIENTES'!$A$2:$A$97,0),"")</f>
        <v/>
      </c>
      <c r="C54" s="24" t="str">
        <f>IFERROR(INDEX('3)PACIENTES'!D$2:D$97,SAMPLES!$B54),"")</f>
        <v/>
      </c>
      <c r="D54" s="24" t="str">
        <f>IFERROR(INDEX('3)PACIENTES'!B$2:B$97,SAMPLES!$B54),"")</f>
        <v/>
      </c>
      <c r="E54" s="24" t="str">
        <f>IFERROR(INDEX('3)PACIENTES'!$C$2:$C146,SAMPLES!$B54),"")</f>
        <v/>
      </c>
      <c r="F54" s="22">
        <f>'3)PACIENTES'!$F$2</f>
        <v>44039</v>
      </c>
      <c r="G54" s="13" t="str">
        <f>IFERROR(INDEX('3)PACIENTES'!E$2:E$97,SAMPLES!$B54),"")</f>
        <v/>
      </c>
      <c r="H54" s="17" t="str">
        <f t="shared" si="0"/>
        <v/>
      </c>
      <c r="I54" s="17" t="str">
        <f t="shared" si="20"/>
        <v/>
      </c>
      <c r="J54" s="32" t="str">
        <f t="array" ref="J54">IFERROR(INDEX('1)qPCR'!$E$2:$E$97,MATCH(INDEX(HIDDEN!$C$1:$C$96,SMALL(IF(HIDDEN!$B$1:$B$96=$A54&amp;";"&amp;J$1,ROW(HIDDEN!$B$1:$B$96)-ROW(INDEX(HIDDEN!$B$1:$B$96,1,1))+1),J$2)),'1)qPCR'!$A$2:$A$97,0)),"")</f>
        <v/>
      </c>
      <c r="K54" s="32" t="str">
        <f t="array" ref="K54">IFERROR(INDEX('1)qPCR'!$E$2:$E$97,MATCH(INDEX(HIDDEN!$C$1:$C$96,SMALL(IF(HIDDEN!$B$1:$B$96=$A54&amp;";"&amp;K$1,ROW(HIDDEN!$B$1:$B$96)-ROW(INDEX(HIDDEN!$B$1:$B$96,1,1))+1),K$2)),'1)qPCR'!$A$2:$A$97,0)),"")</f>
        <v/>
      </c>
      <c r="L54" s="32" t="str">
        <f t="array" ref="L54">IFERROR(INDEX('1)qPCR'!$E$2:$E$97,MATCH(INDEX(HIDDEN!$C$1:$C$96,SMALL(IF(HIDDEN!$B$1:$B$96=$A54&amp;";"&amp;L$1,ROW(HIDDEN!$B$1:$B$96)-ROW(INDEX(HIDDEN!$B$1:$B$96,1,1))+1),L$2)),'1)qPCR'!$A$2:$A$97,0)),"")</f>
        <v/>
      </c>
      <c r="M54" s="32" t="str">
        <f t="array" ref="M54">IFERROR(INDEX('1)qPCR'!$E$2:$E$97,MATCH(INDEX(HIDDEN!$C$1:$C$96,SMALL(IF(HIDDEN!$B$1:$B$96=$A54&amp;";"&amp;M$1,ROW(HIDDEN!$B$1:$B$96)-ROW(INDEX(HIDDEN!$B$1:$B$96,1,1))+1),M$2)),'1)qPCR'!$A$2:$A$97,0)),"")</f>
        <v/>
      </c>
      <c r="N54" s="32" t="str">
        <f t="array" ref="N54">IFERROR(INDEX('1)qPCR'!$E$2:$E$97,MATCH(INDEX(HIDDEN!$C$1:$C$96,SMALL(IF(HIDDEN!$B$1:$B$96=$A54&amp;";"&amp;N$1,ROW(HIDDEN!$B$1:$B$96)-ROW(INDEX(HIDDEN!$B$1:$B$96,1,1))+1),N$2)),'1)qPCR'!$A$2:$A$97,0)),"")</f>
        <v/>
      </c>
      <c r="O54" s="32" t="str">
        <f t="array" ref="O54">IFERROR(INDEX('1)qPCR'!$E$2:$E$97,MATCH(INDEX(HIDDEN!$C$1:$C$96,SMALL(IF(HIDDEN!$B$1:$B$96=$A54&amp;";"&amp;O$1,ROW(HIDDEN!$B$1:$B$96)-ROW(INDEX(HIDDEN!$B$1:$B$96,1,1))+1),O$2)),'1)qPCR'!$A$2:$A$97,0)),"")</f>
        <v/>
      </c>
      <c r="P54" s="7" t="str">
        <f t="shared" si="41"/>
        <v/>
      </c>
      <c r="Q54" s="18" t="str">
        <f t="shared" si="53"/>
        <v/>
      </c>
      <c r="R54" s="7" t="str">
        <f t="shared" si="42"/>
        <v/>
      </c>
      <c r="S54" s="18" t="str">
        <f t="shared" si="54"/>
        <v/>
      </c>
      <c r="T54" s="10" t="str">
        <f t="shared" si="55"/>
        <v/>
      </c>
      <c r="U54" s="10" t="str">
        <f t="shared" si="22"/>
        <v/>
      </c>
      <c r="V54" s="17" t="str">
        <f t="shared" si="23"/>
        <v/>
      </c>
      <c r="W54" s="17" t="str">
        <f t="shared" si="24"/>
        <v/>
      </c>
      <c r="X54" s="17" t="str">
        <f t="shared" si="49"/>
        <v/>
      </c>
      <c r="Y54" s="17" t="str">
        <f t="shared" si="50"/>
        <v/>
      </c>
      <c r="Z54" s="17" t="str">
        <f t="shared" si="6"/>
        <v/>
      </c>
      <c r="AA54" s="17" t="str">
        <f t="shared" si="7"/>
        <v/>
      </c>
      <c r="AB54" s="17" t="str">
        <f t="shared" si="51"/>
        <v/>
      </c>
      <c r="AC54" s="17" t="str">
        <f t="shared" si="52"/>
        <v/>
      </c>
      <c r="AD54" s="17" t="str">
        <f t="shared" si="10"/>
        <v/>
      </c>
      <c r="AE54" s="17" t="str">
        <f t="shared" si="11"/>
        <v/>
      </c>
      <c r="AF54" s="17" t="str">
        <f t="shared" si="12"/>
        <v/>
      </c>
      <c r="AG54" s="17">
        <f t="shared" si="26"/>
        <v>0</v>
      </c>
      <c r="AH54" s="17">
        <f t="shared" si="13"/>
        <v>0</v>
      </c>
      <c r="AI54" s="17">
        <f t="shared" si="27"/>
        <v>0</v>
      </c>
      <c r="AJ54" s="17" t="str">
        <f>IF(AP54="","",IF(AP54&lt;=RANGES!$A$8,1,IF(AP54&lt;=RANGES!$A$9,2,IF(AP54&lt;=RANGES!$A$10,3,IF(AP54&lt;=RANGES!$A$11,4,IF(AP54&lt;=RANGES!$A$12,5,IF(AP54&lt;=RANGES!$A$13,6,IF(AP54&lt;=RANGES!$A$14,7,8))))))))</f>
        <v/>
      </c>
      <c r="AK54" s="17" t="str">
        <f ca="1">IFERROR(INDEX(RANGES!$C$7:$H$7,1,IF(AO54&lt;=INDIRECT("RANGES!C"&amp;7+AJ54),1,IF(AO54&lt;=INDIRECT("RANGES!D"&amp;7+AJ54),2,IF(AO54&lt;=INDIRECT("RANGES!E"&amp;7+AJ54),3,IF(AO54&lt;=INDIRECT("RANGES!F"&amp;7+AJ54),4,IF(AO54&lt;=INDIRECT("RANGES!G"&amp;7+AJ54),5,6)))))),"")</f>
        <v/>
      </c>
      <c r="AL54" s="17">
        <f t="shared" si="43"/>
        <v>0</v>
      </c>
      <c r="AM54" s="17" t="str">
        <f t="shared" si="44"/>
        <v/>
      </c>
      <c r="AN54" s="17" t="str">
        <f t="shared" si="28"/>
        <v/>
      </c>
      <c r="AO54" s="17" t="str">
        <f t="shared" si="29"/>
        <v/>
      </c>
      <c r="AP54" s="17" t="str">
        <f t="shared" si="45"/>
        <v/>
      </c>
      <c r="AQ54" s="17" t="str">
        <f t="shared" si="30"/>
        <v/>
      </c>
      <c r="AR54" s="17" t="str">
        <f t="shared" si="31"/>
        <v/>
      </c>
      <c r="AS54" s="17" t="str">
        <f t="shared" si="32"/>
        <v/>
      </c>
      <c r="AT54" s="7" t="str">
        <f t="shared" si="46"/>
        <v/>
      </c>
      <c r="AU54" s="10" t="str">
        <f t="shared" si="33"/>
        <v/>
      </c>
      <c r="AV54" s="7" t="str">
        <f t="shared" si="47"/>
        <v/>
      </c>
      <c r="AW54" s="21" t="str">
        <f t="shared" si="34"/>
        <v/>
      </c>
      <c r="AX54" s="21" t="str">
        <f t="shared" si="48"/>
        <v/>
      </c>
      <c r="AY54" s="7" t="str">
        <f t="shared" si="35"/>
        <v/>
      </c>
      <c r="AZ54" s="7" t="str">
        <f t="shared" si="36"/>
        <v/>
      </c>
    </row>
    <row r="55" spans="1:52" ht="13.2">
      <c r="A55" s="7" t="str">
        <f>HIDDEN!H54</f>
        <v/>
      </c>
      <c r="B55" s="7" t="str">
        <f>IFERROR(MATCH(A55,'3)PACIENTES'!$A$2:$A$97,0),"")</f>
        <v/>
      </c>
      <c r="C55" s="24" t="str">
        <f>IFERROR(INDEX('3)PACIENTES'!D$2:D$97,SAMPLES!$B55),"")</f>
        <v/>
      </c>
      <c r="D55" s="24" t="str">
        <f>IFERROR(INDEX('3)PACIENTES'!B$2:B$97,SAMPLES!$B55),"")</f>
        <v/>
      </c>
      <c r="E55" s="24" t="str">
        <f>IFERROR(INDEX('3)PACIENTES'!$C$2:$C147,SAMPLES!$B55),"")</f>
        <v/>
      </c>
      <c r="F55" s="22">
        <f>'3)PACIENTES'!$F$2</f>
        <v>44039</v>
      </c>
      <c r="G55" s="13" t="str">
        <f>IFERROR(INDEX('3)PACIENTES'!E$2:E$97,SAMPLES!$B55),"")</f>
        <v/>
      </c>
      <c r="H55" s="17" t="str">
        <f t="shared" si="0"/>
        <v/>
      </c>
      <c r="I55" s="17" t="str">
        <f t="shared" si="20"/>
        <v/>
      </c>
      <c r="J55" s="32" t="str">
        <f t="array" ref="J55">IFERROR(INDEX('1)qPCR'!$E$2:$E$97,MATCH(INDEX(HIDDEN!$C$1:$C$96,SMALL(IF(HIDDEN!$B$1:$B$96=$A55&amp;";"&amp;J$1,ROW(HIDDEN!$B$1:$B$96)-ROW(INDEX(HIDDEN!$B$1:$B$96,1,1))+1),J$2)),'1)qPCR'!$A$2:$A$97,0)),"")</f>
        <v/>
      </c>
      <c r="K55" s="32" t="str">
        <f t="array" ref="K55">IFERROR(INDEX('1)qPCR'!$E$2:$E$97,MATCH(INDEX(HIDDEN!$C$1:$C$96,SMALL(IF(HIDDEN!$B$1:$B$96=$A55&amp;";"&amp;K$1,ROW(HIDDEN!$B$1:$B$96)-ROW(INDEX(HIDDEN!$B$1:$B$96,1,1))+1),K$2)),'1)qPCR'!$A$2:$A$97,0)),"")</f>
        <v/>
      </c>
      <c r="L55" s="32" t="str">
        <f t="array" ref="L55">IFERROR(INDEX('1)qPCR'!$E$2:$E$97,MATCH(INDEX(HIDDEN!$C$1:$C$96,SMALL(IF(HIDDEN!$B$1:$B$96=$A55&amp;";"&amp;L$1,ROW(HIDDEN!$B$1:$B$96)-ROW(INDEX(HIDDEN!$B$1:$B$96,1,1))+1),L$2)),'1)qPCR'!$A$2:$A$97,0)),"")</f>
        <v/>
      </c>
      <c r="M55" s="32" t="str">
        <f t="array" ref="M55">IFERROR(INDEX('1)qPCR'!$E$2:$E$97,MATCH(INDEX(HIDDEN!$C$1:$C$96,SMALL(IF(HIDDEN!$B$1:$B$96=$A55&amp;";"&amp;M$1,ROW(HIDDEN!$B$1:$B$96)-ROW(INDEX(HIDDEN!$B$1:$B$96,1,1))+1),M$2)),'1)qPCR'!$A$2:$A$97,0)),"")</f>
        <v/>
      </c>
      <c r="N55" s="32" t="str">
        <f t="array" ref="N55">IFERROR(INDEX('1)qPCR'!$E$2:$E$97,MATCH(INDEX(HIDDEN!$C$1:$C$96,SMALL(IF(HIDDEN!$B$1:$B$96=$A55&amp;";"&amp;N$1,ROW(HIDDEN!$B$1:$B$96)-ROW(INDEX(HIDDEN!$B$1:$B$96,1,1))+1),N$2)),'1)qPCR'!$A$2:$A$97,0)),"")</f>
        <v/>
      </c>
      <c r="O55" s="32" t="str">
        <f t="array" ref="O55">IFERROR(INDEX('1)qPCR'!$E$2:$E$97,MATCH(INDEX(HIDDEN!$C$1:$C$96,SMALL(IF(HIDDEN!$B$1:$B$96=$A55&amp;";"&amp;O$1,ROW(HIDDEN!$B$1:$B$96)-ROW(INDEX(HIDDEN!$B$1:$B$96,1,1))+1),O$2)),'1)qPCR'!$A$2:$A$97,0)),"")</f>
        <v/>
      </c>
      <c r="P55" s="7" t="str">
        <f t="shared" si="41"/>
        <v/>
      </c>
      <c r="Q55" s="18" t="str">
        <f t="shared" si="53"/>
        <v/>
      </c>
      <c r="R55" s="7" t="str">
        <f t="shared" si="42"/>
        <v/>
      </c>
      <c r="S55" s="18" t="str">
        <f t="shared" si="54"/>
        <v/>
      </c>
      <c r="T55" s="10" t="str">
        <f t="shared" si="55"/>
        <v/>
      </c>
      <c r="U55" s="10" t="str">
        <f t="shared" si="22"/>
        <v/>
      </c>
      <c r="V55" s="17" t="str">
        <f t="shared" si="23"/>
        <v/>
      </c>
      <c r="W55" s="17" t="str">
        <f t="shared" si="24"/>
        <v/>
      </c>
      <c r="X55" s="17" t="str">
        <f t="shared" si="49"/>
        <v/>
      </c>
      <c r="Y55" s="17" t="str">
        <f t="shared" si="50"/>
        <v/>
      </c>
      <c r="Z55" s="17" t="str">
        <f t="shared" si="6"/>
        <v/>
      </c>
      <c r="AA55" s="17" t="str">
        <f t="shared" si="7"/>
        <v/>
      </c>
      <c r="AB55" s="17" t="str">
        <f t="shared" si="51"/>
        <v/>
      </c>
      <c r="AC55" s="17" t="str">
        <f t="shared" si="52"/>
        <v/>
      </c>
      <c r="AD55" s="17" t="str">
        <f t="shared" si="10"/>
        <v/>
      </c>
      <c r="AE55" s="17" t="str">
        <f t="shared" si="11"/>
        <v/>
      </c>
      <c r="AF55" s="17" t="str">
        <f t="shared" si="12"/>
        <v/>
      </c>
      <c r="AG55" s="17">
        <f t="shared" si="26"/>
        <v>0</v>
      </c>
      <c r="AH55" s="17">
        <f t="shared" si="13"/>
        <v>0</v>
      </c>
      <c r="AI55" s="17">
        <f t="shared" si="27"/>
        <v>0</v>
      </c>
      <c r="AJ55" s="17" t="str">
        <f>IF(AP55="","",IF(AP55&lt;=RANGES!$A$8,1,IF(AP55&lt;=RANGES!$A$9,2,IF(AP55&lt;=RANGES!$A$10,3,IF(AP55&lt;=RANGES!$A$11,4,IF(AP55&lt;=RANGES!$A$12,5,IF(AP55&lt;=RANGES!$A$13,6,IF(AP55&lt;=RANGES!$A$14,7,8))))))))</f>
        <v/>
      </c>
      <c r="AK55" s="17" t="str">
        <f ca="1">IFERROR(INDEX(RANGES!$C$7:$H$7,1,IF(AO55&lt;=INDIRECT("RANGES!C"&amp;7+AJ55),1,IF(AO55&lt;=INDIRECT("RANGES!D"&amp;7+AJ55),2,IF(AO55&lt;=INDIRECT("RANGES!E"&amp;7+AJ55),3,IF(AO55&lt;=INDIRECT("RANGES!F"&amp;7+AJ55),4,IF(AO55&lt;=INDIRECT("RANGES!G"&amp;7+AJ55),5,6)))))),"")</f>
        <v/>
      </c>
      <c r="AL55" s="17">
        <f t="shared" si="43"/>
        <v>0</v>
      </c>
      <c r="AM55" s="17" t="str">
        <f t="shared" si="44"/>
        <v/>
      </c>
      <c r="AN55" s="17" t="str">
        <f t="shared" si="28"/>
        <v/>
      </c>
      <c r="AO55" s="17" t="str">
        <f t="shared" si="29"/>
        <v/>
      </c>
      <c r="AP55" s="17" t="str">
        <f t="shared" si="45"/>
        <v/>
      </c>
      <c r="AQ55" s="17" t="str">
        <f t="shared" si="30"/>
        <v/>
      </c>
      <c r="AR55" s="17" t="str">
        <f t="shared" si="31"/>
        <v/>
      </c>
      <c r="AS55" s="17" t="str">
        <f t="shared" si="32"/>
        <v/>
      </c>
      <c r="AT55" s="7" t="str">
        <f t="shared" si="46"/>
        <v/>
      </c>
      <c r="AU55" s="10" t="str">
        <f t="shared" si="33"/>
        <v/>
      </c>
      <c r="AV55" s="7" t="str">
        <f t="shared" si="47"/>
        <v/>
      </c>
      <c r="AW55" s="21" t="str">
        <f t="shared" si="34"/>
        <v/>
      </c>
      <c r="AX55" s="21" t="str">
        <f t="shared" si="48"/>
        <v/>
      </c>
      <c r="AY55" s="7" t="str">
        <f t="shared" si="35"/>
        <v/>
      </c>
      <c r="AZ55" s="7" t="str">
        <f t="shared" si="36"/>
        <v/>
      </c>
    </row>
    <row r="56" spans="1:52" ht="13.2">
      <c r="A56" s="7" t="str">
        <f>HIDDEN!H55</f>
        <v/>
      </c>
      <c r="B56" s="7" t="str">
        <f>IFERROR(MATCH(A56,'3)PACIENTES'!$A$2:$A$97,0),"")</f>
        <v/>
      </c>
      <c r="C56" s="24" t="str">
        <f>IFERROR(INDEX('3)PACIENTES'!D$2:D$97,SAMPLES!$B56),"")</f>
        <v/>
      </c>
      <c r="D56" s="24" t="str">
        <f>IFERROR(INDEX('3)PACIENTES'!B$2:B$97,SAMPLES!$B56),"")</f>
        <v/>
      </c>
      <c r="E56" s="24" t="str">
        <f>IFERROR(INDEX('3)PACIENTES'!$C$2:$C148,SAMPLES!$B56),"")</f>
        <v/>
      </c>
      <c r="F56" s="22">
        <f>'3)PACIENTES'!$F$2</f>
        <v>44039</v>
      </c>
      <c r="G56" s="13" t="str">
        <f>IFERROR(INDEX('3)PACIENTES'!E$2:E$97,SAMPLES!$B56),"")</f>
        <v/>
      </c>
      <c r="H56" s="17" t="str">
        <f t="shared" si="0"/>
        <v/>
      </c>
      <c r="I56" s="17" t="str">
        <f t="shared" si="20"/>
        <v/>
      </c>
      <c r="J56" s="32" t="str">
        <f t="array" ref="J56">IFERROR(INDEX('1)qPCR'!$E$2:$E$97,MATCH(INDEX(HIDDEN!$C$1:$C$96,SMALL(IF(HIDDEN!$B$1:$B$96=$A56&amp;";"&amp;J$1,ROW(HIDDEN!$B$1:$B$96)-ROW(INDEX(HIDDEN!$B$1:$B$96,1,1))+1),J$2)),'1)qPCR'!$A$2:$A$97,0)),"")</f>
        <v/>
      </c>
      <c r="K56" s="32" t="str">
        <f t="array" ref="K56">IFERROR(INDEX('1)qPCR'!$E$2:$E$97,MATCH(INDEX(HIDDEN!$C$1:$C$96,SMALL(IF(HIDDEN!$B$1:$B$96=$A56&amp;";"&amp;K$1,ROW(HIDDEN!$B$1:$B$96)-ROW(INDEX(HIDDEN!$B$1:$B$96,1,1))+1),K$2)),'1)qPCR'!$A$2:$A$97,0)),"")</f>
        <v/>
      </c>
      <c r="L56" s="32" t="str">
        <f t="array" ref="L56">IFERROR(INDEX('1)qPCR'!$E$2:$E$97,MATCH(INDEX(HIDDEN!$C$1:$C$96,SMALL(IF(HIDDEN!$B$1:$B$96=$A56&amp;";"&amp;L$1,ROW(HIDDEN!$B$1:$B$96)-ROW(INDEX(HIDDEN!$B$1:$B$96,1,1))+1),L$2)),'1)qPCR'!$A$2:$A$97,0)),"")</f>
        <v/>
      </c>
      <c r="M56" s="32" t="str">
        <f t="array" ref="M56">IFERROR(INDEX('1)qPCR'!$E$2:$E$97,MATCH(INDEX(HIDDEN!$C$1:$C$96,SMALL(IF(HIDDEN!$B$1:$B$96=$A56&amp;";"&amp;M$1,ROW(HIDDEN!$B$1:$B$96)-ROW(INDEX(HIDDEN!$B$1:$B$96,1,1))+1),M$2)),'1)qPCR'!$A$2:$A$97,0)),"")</f>
        <v/>
      </c>
      <c r="N56" s="32" t="str">
        <f t="array" ref="N56">IFERROR(INDEX('1)qPCR'!$E$2:$E$97,MATCH(INDEX(HIDDEN!$C$1:$C$96,SMALL(IF(HIDDEN!$B$1:$B$96=$A56&amp;";"&amp;N$1,ROW(HIDDEN!$B$1:$B$96)-ROW(INDEX(HIDDEN!$B$1:$B$96,1,1))+1),N$2)),'1)qPCR'!$A$2:$A$97,0)),"")</f>
        <v/>
      </c>
      <c r="O56" s="32" t="str">
        <f t="array" ref="O56">IFERROR(INDEX('1)qPCR'!$E$2:$E$97,MATCH(INDEX(HIDDEN!$C$1:$C$96,SMALL(IF(HIDDEN!$B$1:$B$96=$A56&amp;";"&amp;O$1,ROW(HIDDEN!$B$1:$B$96)-ROW(INDEX(HIDDEN!$B$1:$B$96,1,1))+1),O$2)),'1)qPCR'!$A$2:$A$97,0)),"")</f>
        <v/>
      </c>
      <c r="P56" s="7" t="str">
        <f t="shared" si="41"/>
        <v/>
      </c>
      <c r="Q56" s="18" t="str">
        <f t="shared" si="53"/>
        <v/>
      </c>
      <c r="R56" s="7" t="str">
        <f t="shared" si="42"/>
        <v/>
      </c>
      <c r="S56" s="18" t="str">
        <f t="shared" si="54"/>
        <v/>
      </c>
      <c r="T56" s="10" t="str">
        <f t="shared" si="55"/>
        <v/>
      </c>
      <c r="U56" s="10" t="str">
        <f t="shared" si="22"/>
        <v/>
      </c>
      <c r="V56" s="17" t="str">
        <f t="shared" si="23"/>
        <v/>
      </c>
      <c r="W56" s="17" t="str">
        <f t="shared" si="24"/>
        <v/>
      </c>
      <c r="X56" s="17" t="str">
        <f t="shared" si="49"/>
        <v/>
      </c>
      <c r="Y56" s="17" t="str">
        <f t="shared" si="50"/>
        <v/>
      </c>
      <c r="Z56" s="17" t="str">
        <f t="shared" si="6"/>
        <v/>
      </c>
      <c r="AA56" s="17" t="str">
        <f t="shared" si="7"/>
        <v/>
      </c>
      <c r="AB56" s="17" t="str">
        <f t="shared" si="51"/>
        <v/>
      </c>
      <c r="AC56" s="17" t="str">
        <f t="shared" si="52"/>
        <v/>
      </c>
      <c r="AD56" s="17" t="str">
        <f t="shared" si="10"/>
        <v/>
      </c>
      <c r="AE56" s="17" t="str">
        <f t="shared" si="11"/>
        <v/>
      </c>
      <c r="AF56" s="17" t="str">
        <f t="shared" si="12"/>
        <v/>
      </c>
      <c r="AG56" s="17">
        <f t="shared" si="26"/>
        <v>0</v>
      </c>
      <c r="AH56" s="17">
        <f t="shared" si="13"/>
        <v>0</v>
      </c>
      <c r="AI56" s="17">
        <f t="shared" si="27"/>
        <v>0</v>
      </c>
      <c r="AJ56" s="17" t="str">
        <f>IF(AP56="","",IF(AP56&lt;=RANGES!$A$8,1,IF(AP56&lt;=RANGES!$A$9,2,IF(AP56&lt;=RANGES!$A$10,3,IF(AP56&lt;=RANGES!$A$11,4,IF(AP56&lt;=RANGES!$A$12,5,IF(AP56&lt;=RANGES!$A$13,6,IF(AP56&lt;=RANGES!$A$14,7,8))))))))</f>
        <v/>
      </c>
      <c r="AK56" s="17" t="str">
        <f ca="1">IFERROR(INDEX(RANGES!$C$7:$H$7,1,IF(AO56&lt;=INDIRECT("RANGES!C"&amp;7+AJ56),1,IF(AO56&lt;=INDIRECT("RANGES!D"&amp;7+AJ56),2,IF(AO56&lt;=INDIRECT("RANGES!E"&amp;7+AJ56),3,IF(AO56&lt;=INDIRECT("RANGES!F"&amp;7+AJ56),4,IF(AO56&lt;=INDIRECT("RANGES!G"&amp;7+AJ56),5,6)))))),"")</f>
        <v/>
      </c>
      <c r="AL56" s="17">
        <f t="shared" si="43"/>
        <v>0</v>
      </c>
      <c r="AM56" s="17" t="str">
        <f t="shared" si="44"/>
        <v/>
      </c>
      <c r="AN56" s="17" t="str">
        <f t="shared" si="28"/>
        <v/>
      </c>
      <c r="AO56" s="17" t="str">
        <f t="shared" si="29"/>
        <v/>
      </c>
      <c r="AP56" s="17" t="str">
        <f t="shared" si="45"/>
        <v/>
      </c>
      <c r="AQ56" s="17" t="str">
        <f t="shared" si="30"/>
        <v/>
      </c>
      <c r="AR56" s="17" t="str">
        <f t="shared" si="31"/>
        <v/>
      </c>
      <c r="AS56" s="17" t="str">
        <f t="shared" si="32"/>
        <v/>
      </c>
      <c r="AT56" s="7" t="str">
        <f t="shared" si="46"/>
        <v/>
      </c>
      <c r="AU56" s="10" t="str">
        <f t="shared" si="33"/>
        <v/>
      </c>
      <c r="AV56" s="7" t="str">
        <f t="shared" si="47"/>
        <v/>
      </c>
      <c r="AW56" s="21" t="str">
        <f t="shared" si="34"/>
        <v/>
      </c>
      <c r="AX56" s="21" t="str">
        <f t="shared" si="48"/>
        <v/>
      </c>
      <c r="AY56" s="7" t="str">
        <f t="shared" si="35"/>
        <v/>
      </c>
      <c r="AZ56" s="7" t="str">
        <f t="shared" si="36"/>
        <v/>
      </c>
    </row>
    <row r="57" spans="1:52" ht="13.2">
      <c r="A57" s="7" t="str">
        <f>HIDDEN!H56</f>
        <v/>
      </c>
      <c r="B57" s="7" t="str">
        <f>IFERROR(MATCH(A57,'3)PACIENTES'!$A$2:$A$97,0),"")</f>
        <v/>
      </c>
      <c r="C57" s="24" t="str">
        <f>IFERROR(INDEX('3)PACIENTES'!D$2:D$97,SAMPLES!$B57),"")</f>
        <v/>
      </c>
      <c r="D57" s="24" t="str">
        <f>IFERROR(INDEX('3)PACIENTES'!B$2:B$97,SAMPLES!$B57),"")</f>
        <v/>
      </c>
      <c r="E57" s="24" t="str">
        <f>IFERROR(INDEX('3)PACIENTES'!$C$2:$C149,SAMPLES!$B57),"")</f>
        <v/>
      </c>
      <c r="F57" s="22">
        <f>'3)PACIENTES'!$F$2</f>
        <v>44039</v>
      </c>
      <c r="G57" s="13" t="str">
        <f>IFERROR(INDEX('3)PACIENTES'!E$2:E$97,SAMPLES!$B57),"")</f>
        <v/>
      </c>
      <c r="H57" s="17" t="str">
        <f t="shared" si="0"/>
        <v/>
      </c>
      <c r="I57" s="17" t="str">
        <f t="shared" si="20"/>
        <v/>
      </c>
      <c r="J57" s="32" t="str">
        <f t="array" ref="J57">IFERROR(INDEX('1)qPCR'!$E$2:$E$97,MATCH(INDEX(HIDDEN!$C$1:$C$96,SMALL(IF(HIDDEN!$B$1:$B$96=$A57&amp;";"&amp;J$1,ROW(HIDDEN!$B$1:$B$96)-ROW(INDEX(HIDDEN!$B$1:$B$96,1,1))+1),J$2)),'1)qPCR'!$A$2:$A$97,0)),"")</f>
        <v/>
      </c>
      <c r="K57" s="32" t="str">
        <f t="array" ref="K57">IFERROR(INDEX('1)qPCR'!$E$2:$E$97,MATCH(INDEX(HIDDEN!$C$1:$C$96,SMALL(IF(HIDDEN!$B$1:$B$96=$A57&amp;";"&amp;K$1,ROW(HIDDEN!$B$1:$B$96)-ROW(INDEX(HIDDEN!$B$1:$B$96,1,1))+1),K$2)),'1)qPCR'!$A$2:$A$97,0)),"")</f>
        <v/>
      </c>
      <c r="L57" s="32" t="str">
        <f t="array" ref="L57">IFERROR(INDEX('1)qPCR'!$E$2:$E$97,MATCH(INDEX(HIDDEN!$C$1:$C$96,SMALL(IF(HIDDEN!$B$1:$B$96=$A57&amp;";"&amp;L$1,ROW(HIDDEN!$B$1:$B$96)-ROW(INDEX(HIDDEN!$B$1:$B$96,1,1))+1),L$2)),'1)qPCR'!$A$2:$A$97,0)),"")</f>
        <v/>
      </c>
      <c r="M57" s="32" t="str">
        <f t="array" ref="M57">IFERROR(INDEX('1)qPCR'!$E$2:$E$97,MATCH(INDEX(HIDDEN!$C$1:$C$96,SMALL(IF(HIDDEN!$B$1:$B$96=$A57&amp;";"&amp;M$1,ROW(HIDDEN!$B$1:$B$96)-ROW(INDEX(HIDDEN!$B$1:$B$96,1,1))+1),M$2)),'1)qPCR'!$A$2:$A$97,0)),"")</f>
        <v/>
      </c>
      <c r="N57" s="32" t="str">
        <f t="array" ref="N57">IFERROR(INDEX('1)qPCR'!$E$2:$E$97,MATCH(INDEX(HIDDEN!$C$1:$C$96,SMALL(IF(HIDDEN!$B$1:$B$96=$A57&amp;";"&amp;N$1,ROW(HIDDEN!$B$1:$B$96)-ROW(INDEX(HIDDEN!$B$1:$B$96,1,1))+1),N$2)),'1)qPCR'!$A$2:$A$97,0)),"")</f>
        <v/>
      </c>
      <c r="O57" s="32" t="str">
        <f t="array" ref="O57">IFERROR(INDEX('1)qPCR'!$E$2:$E$97,MATCH(INDEX(HIDDEN!$C$1:$C$96,SMALL(IF(HIDDEN!$B$1:$B$96=$A57&amp;";"&amp;O$1,ROW(HIDDEN!$B$1:$B$96)-ROW(INDEX(HIDDEN!$B$1:$B$96,1,1))+1),O$2)),'1)qPCR'!$A$2:$A$97,0)),"")</f>
        <v/>
      </c>
      <c r="P57" s="7" t="str">
        <f t="shared" si="41"/>
        <v/>
      </c>
      <c r="Q57" s="18" t="str">
        <f t="shared" si="53"/>
        <v/>
      </c>
      <c r="R57" s="7" t="str">
        <f t="shared" si="42"/>
        <v/>
      </c>
      <c r="S57" s="18" t="str">
        <f t="shared" si="54"/>
        <v/>
      </c>
      <c r="T57" s="10" t="str">
        <f t="shared" si="55"/>
        <v/>
      </c>
      <c r="U57" s="10" t="str">
        <f t="shared" si="22"/>
        <v/>
      </c>
      <c r="V57" s="17" t="str">
        <f t="shared" si="23"/>
        <v/>
      </c>
      <c r="W57" s="17" t="str">
        <f t="shared" si="24"/>
        <v/>
      </c>
      <c r="X57" s="17" t="str">
        <f t="shared" si="49"/>
        <v/>
      </c>
      <c r="Y57" s="17" t="str">
        <f t="shared" si="50"/>
        <v/>
      </c>
      <c r="Z57" s="17" t="str">
        <f t="shared" si="6"/>
        <v/>
      </c>
      <c r="AA57" s="17" t="str">
        <f t="shared" si="7"/>
        <v/>
      </c>
      <c r="AB57" s="17" t="str">
        <f t="shared" si="51"/>
        <v/>
      </c>
      <c r="AC57" s="17" t="str">
        <f t="shared" si="52"/>
        <v/>
      </c>
      <c r="AD57" s="17" t="str">
        <f t="shared" si="10"/>
        <v/>
      </c>
      <c r="AE57" s="17" t="str">
        <f t="shared" si="11"/>
        <v/>
      </c>
      <c r="AF57" s="17" t="str">
        <f t="shared" si="12"/>
        <v/>
      </c>
      <c r="AG57" s="17">
        <f t="shared" si="26"/>
        <v>0</v>
      </c>
      <c r="AH57" s="17">
        <f t="shared" si="13"/>
        <v>0</v>
      </c>
      <c r="AI57" s="17">
        <f t="shared" si="27"/>
        <v>0</v>
      </c>
      <c r="AJ57" s="17" t="str">
        <f>IF(AP57="","",IF(AP57&lt;=RANGES!$A$8,1,IF(AP57&lt;=RANGES!$A$9,2,IF(AP57&lt;=RANGES!$A$10,3,IF(AP57&lt;=RANGES!$A$11,4,IF(AP57&lt;=RANGES!$A$12,5,IF(AP57&lt;=RANGES!$A$13,6,IF(AP57&lt;=RANGES!$A$14,7,8))))))))</f>
        <v/>
      </c>
      <c r="AK57" s="17" t="str">
        <f ca="1">IFERROR(INDEX(RANGES!$C$7:$H$7,1,IF(AO57&lt;=INDIRECT("RANGES!C"&amp;7+AJ57),1,IF(AO57&lt;=INDIRECT("RANGES!D"&amp;7+AJ57),2,IF(AO57&lt;=INDIRECT("RANGES!E"&amp;7+AJ57),3,IF(AO57&lt;=INDIRECT("RANGES!F"&amp;7+AJ57),4,IF(AO57&lt;=INDIRECT("RANGES!G"&amp;7+AJ57),5,6)))))),"")</f>
        <v/>
      </c>
      <c r="AL57" s="17">
        <f t="shared" si="43"/>
        <v>0</v>
      </c>
      <c r="AM57" s="17" t="str">
        <f t="shared" si="44"/>
        <v/>
      </c>
      <c r="AN57" s="17" t="str">
        <f t="shared" si="28"/>
        <v/>
      </c>
      <c r="AO57" s="17" t="str">
        <f t="shared" si="29"/>
        <v/>
      </c>
      <c r="AP57" s="17" t="str">
        <f t="shared" si="45"/>
        <v/>
      </c>
      <c r="AQ57" s="17" t="str">
        <f t="shared" si="30"/>
        <v/>
      </c>
      <c r="AR57" s="17" t="str">
        <f t="shared" si="31"/>
        <v/>
      </c>
      <c r="AS57" s="17" t="str">
        <f t="shared" si="32"/>
        <v/>
      </c>
      <c r="AT57" s="7" t="str">
        <f t="shared" si="46"/>
        <v/>
      </c>
      <c r="AU57" s="10" t="str">
        <f t="shared" si="33"/>
        <v/>
      </c>
      <c r="AV57" s="7" t="str">
        <f t="shared" si="47"/>
        <v/>
      </c>
      <c r="AW57" s="21" t="str">
        <f t="shared" si="34"/>
        <v/>
      </c>
      <c r="AX57" s="21" t="str">
        <f t="shared" si="48"/>
        <v/>
      </c>
      <c r="AY57" s="7" t="str">
        <f t="shared" si="35"/>
        <v/>
      </c>
      <c r="AZ57" s="7" t="str">
        <f t="shared" si="36"/>
        <v/>
      </c>
    </row>
    <row r="58" spans="1:52" ht="13.2">
      <c r="A58" s="7" t="str">
        <f>HIDDEN!H57</f>
        <v/>
      </c>
      <c r="B58" s="7" t="str">
        <f>IFERROR(MATCH(A58,'3)PACIENTES'!$A$2:$A$97,0),"")</f>
        <v/>
      </c>
      <c r="C58" s="24" t="str">
        <f>IFERROR(INDEX('3)PACIENTES'!D$2:D$97,SAMPLES!$B58),"")</f>
        <v/>
      </c>
      <c r="D58" s="24" t="str">
        <f>IFERROR(INDEX('3)PACIENTES'!B$2:B$97,SAMPLES!$B58),"")</f>
        <v/>
      </c>
      <c r="E58" s="24" t="str">
        <f>IFERROR(INDEX('3)PACIENTES'!$C$2:$C150,SAMPLES!$B58),"")</f>
        <v/>
      </c>
      <c r="F58" s="22">
        <f>'3)PACIENTES'!$F$2</f>
        <v>44039</v>
      </c>
      <c r="G58" s="13" t="str">
        <f>IFERROR(INDEX('3)PACIENTES'!E$2:E$97,SAMPLES!$B58),"")</f>
        <v/>
      </c>
      <c r="H58" s="17" t="str">
        <f t="shared" si="0"/>
        <v/>
      </c>
      <c r="I58" s="17" t="str">
        <f t="shared" si="20"/>
        <v/>
      </c>
      <c r="J58" s="32" t="str">
        <f t="array" ref="J58">IFERROR(INDEX('1)qPCR'!$E$2:$E$97,MATCH(INDEX(HIDDEN!$C$1:$C$96,SMALL(IF(HIDDEN!$B$1:$B$96=$A58&amp;";"&amp;J$1,ROW(HIDDEN!$B$1:$B$96)-ROW(INDEX(HIDDEN!$B$1:$B$96,1,1))+1),J$2)),'1)qPCR'!$A$2:$A$97,0)),"")</f>
        <v/>
      </c>
      <c r="K58" s="32" t="str">
        <f t="array" ref="K58">IFERROR(INDEX('1)qPCR'!$E$2:$E$97,MATCH(INDEX(HIDDEN!$C$1:$C$96,SMALL(IF(HIDDEN!$B$1:$B$96=$A58&amp;";"&amp;K$1,ROW(HIDDEN!$B$1:$B$96)-ROW(INDEX(HIDDEN!$B$1:$B$96,1,1))+1),K$2)),'1)qPCR'!$A$2:$A$97,0)),"")</f>
        <v/>
      </c>
      <c r="L58" s="32" t="str">
        <f t="array" ref="L58">IFERROR(INDEX('1)qPCR'!$E$2:$E$97,MATCH(INDEX(HIDDEN!$C$1:$C$96,SMALL(IF(HIDDEN!$B$1:$B$96=$A58&amp;";"&amp;L$1,ROW(HIDDEN!$B$1:$B$96)-ROW(INDEX(HIDDEN!$B$1:$B$96,1,1))+1),L$2)),'1)qPCR'!$A$2:$A$97,0)),"")</f>
        <v/>
      </c>
      <c r="M58" s="32" t="str">
        <f t="array" ref="M58">IFERROR(INDEX('1)qPCR'!$E$2:$E$97,MATCH(INDEX(HIDDEN!$C$1:$C$96,SMALL(IF(HIDDEN!$B$1:$B$96=$A58&amp;";"&amp;M$1,ROW(HIDDEN!$B$1:$B$96)-ROW(INDEX(HIDDEN!$B$1:$B$96,1,1))+1),M$2)),'1)qPCR'!$A$2:$A$97,0)),"")</f>
        <v/>
      </c>
      <c r="N58" s="32" t="str">
        <f t="array" ref="N58">IFERROR(INDEX('1)qPCR'!$E$2:$E$97,MATCH(INDEX(HIDDEN!$C$1:$C$96,SMALL(IF(HIDDEN!$B$1:$B$96=$A58&amp;";"&amp;N$1,ROW(HIDDEN!$B$1:$B$96)-ROW(INDEX(HIDDEN!$B$1:$B$96,1,1))+1),N$2)),'1)qPCR'!$A$2:$A$97,0)),"")</f>
        <v/>
      </c>
      <c r="O58" s="32" t="str">
        <f t="array" ref="O58">IFERROR(INDEX('1)qPCR'!$E$2:$E$97,MATCH(INDEX(HIDDEN!$C$1:$C$96,SMALL(IF(HIDDEN!$B$1:$B$96=$A58&amp;";"&amp;O$1,ROW(HIDDEN!$B$1:$B$96)-ROW(INDEX(HIDDEN!$B$1:$B$96,1,1))+1),O$2)),'1)qPCR'!$A$2:$A$97,0)),"")</f>
        <v/>
      </c>
      <c r="P58" s="7" t="str">
        <f t="shared" si="41"/>
        <v/>
      </c>
      <c r="Q58" s="18" t="str">
        <f t="shared" si="53"/>
        <v/>
      </c>
      <c r="R58" s="7" t="str">
        <f t="shared" si="42"/>
        <v/>
      </c>
      <c r="S58" s="18" t="str">
        <f t="shared" si="54"/>
        <v/>
      </c>
      <c r="T58" s="10" t="str">
        <f t="shared" si="55"/>
        <v/>
      </c>
      <c r="U58" s="10" t="str">
        <f t="shared" si="22"/>
        <v/>
      </c>
      <c r="V58" s="17" t="str">
        <f t="shared" si="23"/>
        <v/>
      </c>
      <c r="W58" s="17" t="str">
        <f t="shared" si="24"/>
        <v/>
      </c>
      <c r="X58" s="17" t="str">
        <f t="shared" si="49"/>
        <v/>
      </c>
      <c r="Y58" s="17" t="str">
        <f t="shared" si="50"/>
        <v/>
      </c>
      <c r="Z58" s="17" t="str">
        <f t="shared" si="6"/>
        <v/>
      </c>
      <c r="AA58" s="17" t="str">
        <f t="shared" si="7"/>
        <v/>
      </c>
      <c r="AB58" s="17" t="str">
        <f t="shared" si="51"/>
        <v/>
      </c>
      <c r="AC58" s="17" t="str">
        <f t="shared" si="52"/>
        <v/>
      </c>
      <c r="AD58" s="17" t="str">
        <f t="shared" si="10"/>
        <v/>
      </c>
      <c r="AE58" s="17" t="str">
        <f t="shared" si="11"/>
        <v/>
      </c>
      <c r="AF58" s="17" t="str">
        <f t="shared" si="12"/>
        <v/>
      </c>
      <c r="AG58" s="17">
        <f t="shared" si="26"/>
        <v>0</v>
      </c>
      <c r="AH58" s="17">
        <f t="shared" si="13"/>
        <v>0</v>
      </c>
      <c r="AI58" s="17">
        <f t="shared" si="27"/>
        <v>0</v>
      </c>
      <c r="AJ58" s="17" t="str">
        <f>IF(AP58="","",IF(AP58&lt;=RANGES!$A$8,1,IF(AP58&lt;=RANGES!$A$9,2,IF(AP58&lt;=RANGES!$A$10,3,IF(AP58&lt;=RANGES!$A$11,4,IF(AP58&lt;=RANGES!$A$12,5,IF(AP58&lt;=RANGES!$A$13,6,IF(AP58&lt;=RANGES!$A$14,7,8))))))))</f>
        <v/>
      </c>
      <c r="AK58" s="17" t="str">
        <f ca="1">IFERROR(INDEX(RANGES!$C$7:$H$7,1,IF(AO58&lt;=INDIRECT("RANGES!C"&amp;7+AJ58),1,IF(AO58&lt;=INDIRECT("RANGES!D"&amp;7+AJ58),2,IF(AO58&lt;=INDIRECT("RANGES!E"&amp;7+AJ58),3,IF(AO58&lt;=INDIRECT("RANGES!F"&amp;7+AJ58),4,IF(AO58&lt;=INDIRECT("RANGES!G"&amp;7+AJ58),5,6)))))),"")</f>
        <v/>
      </c>
      <c r="AL58" s="17">
        <f t="shared" si="43"/>
        <v>0</v>
      </c>
      <c r="AM58" s="17" t="str">
        <f t="shared" si="44"/>
        <v/>
      </c>
      <c r="AN58" s="17" t="str">
        <f t="shared" si="28"/>
        <v/>
      </c>
      <c r="AO58" s="17" t="str">
        <f t="shared" si="29"/>
        <v/>
      </c>
      <c r="AP58" s="17" t="str">
        <f t="shared" si="45"/>
        <v/>
      </c>
      <c r="AQ58" s="17" t="str">
        <f t="shared" si="30"/>
        <v/>
      </c>
      <c r="AR58" s="17" t="str">
        <f t="shared" si="31"/>
        <v/>
      </c>
      <c r="AS58" s="17" t="str">
        <f t="shared" si="32"/>
        <v/>
      </c>
      <c r="AT58" s="7" t="str">
        <f t="shared" si="46"/>
        <v/>
      </c>
      <c r="AU58" s="10" t="str">
        <f t="shared" si="33"/>
        <v/>
      </c>
      <c r="AV58" s="7" t="str">
        <f t="shared" si="47"/>
        <v/>
      </c>
      <c r="AW58" s="21" t="str">
        <f t="shared" si="34"/>
        <v/>
      </c>
      <c r="AX58" s="21" t="str">
        <f t="shared" si="48"/>
        <v/>
      </c>
      <c r="AY58" s="7" t="str">
        <f t="shared" si="35"/>
        <v/>
      </c>
      <c r="AZ58" s="7" t="str">
        <f t="shared" si="36"/>
        <v/>
      </c>
    </row>
    <row r="59" spans="1:52" ht="13.2">
      <c r="A59" s="7" t="str">
        <f>HIDDEN!H58</f>
        <v/>
      </c>
      <c r="B59" s="7" t="str">
        <f>IFERROR(MATCH(A59,'3)PACIENTES'!$A$2:$A$97,0),"")</f>
        <v/>
      </c>
      <c r="C59" s="24" t="str">
        <f>IFERROR(INDEX('3)PACIENTES'!D$2:D$97,SAMPLES!$B59),"")</f>
        <v/>
      </c>
      <c r="D59" s="24" t="str">
        <f>IFERROR(INDEX('3)PACIENTES'!B$2:B$97,SAMPLES!$B59),"")</f>
        <v/>
      </c>
      <c r="E59" s="24" t="str">
        <f>IFERROR(INDEX('3)PACIENTES'!$C$2:$C151,SAMPLES!$B59),"")</f>
        <v/>
      </c>
      <c r="F59" s="22">
        <f>'3)PACIENTES'!$F$2</f>
        <v>44039</v>
      </c>
      <c r="G59" s="13" t="str">
        <f>IFERROR(INDEX('3)PACIENTES'!E$2:E$97,SAMPLES!$B59),"")</f>
        <v/>
      </c>
      <c r="H59" s="17" t="str">
        <f t="shared" si="0"/>
        <v/>
      </c>
      <c r="I59" s="17" t="str">
        <f t="shared" si="20"/>
        <v/>
      </c>
      <c r="J59" s="32" t="str">
        <f t="array" ref="J59">IFERROR(INDEX('1)qPCR'!$E$2:$E$97,MATCH(INDEX(HIDDEN!$C$1:$C$96,SMALL(IF(HIDDEN!$B$1:$B$96=$A59&amp;";"&amp;J$1,ROW(HIDDEN!$B$1:$B$96)-ROW(INDEX(HIDDEN!$B$1:$B$96,1,1))+1),J$2)),'1)qPCR'!$A$2:$A$97,0)),"")</f>
        <v/>
      </c>
      <c r="K59" s="32" t="str">
        <f t="array" ref="K59">IFERROR(INDEX('1)qPCR'!$E$2:$E$97,MATCH(INDEX(HIDDEN!$C$1:$C$96,SMALL(IF(HIDDEN!$B$1:$B$96=$A59&amp;";"&amp;K$1,ROW(HIDDEN!$B$1:$B$96)-ROW(INDEX(HIDDEN!$B$1:$B$96,1,1))+1),K$2)),'1)qPCR'!$A$2:$A$97,0)),"")</f>
        <v/>
      </c>
      <c r="L59" s="32" t="str">
        <f t="array" ref="L59">IFERROR(INDEX('1)qPCR'!$E$2:$E$97,MATCH(INDEX(HIDDEN!$C$1:$C$96,SMALL(IF(HIDDEN!$B$1:$B$96=$A59&amp;";"&amp;L$1,ROW(HIDDEN!$B$1:$B$96)-ROW(INDEX(HIDDEN!$B$1:$B$96,1,1))+1),L$2)),'1)qPCR'!$A$2:$A$97,0)),"")</f>
        <v/>
      </c>
      <c r="M59" s="32" t="str">
        <f t="array" ref="M59">IFERROR(INDEX('1)qPCR'!$E$2:$E$97,MATCH(INDEX(HIDDEN!$C$1:$C$96,SMALL(IF(HIDDEN!$B$1:$B$96=$A59&amp;";"&amp;M$1,ROW(HIDDEN!$B$1:$B$96)-ROW(INDEX(HIDDEN!$B$1:$B$96,1,1))+1),M$2)),'1)qPCR'!$A$2:$A$97,0)),"")</f>
        <v/>
      </c>
      <c r="N59" s="32" t="str">
        <f t="array" ref="N59">IFERROR(INDEX('1)qPCR'!$E$2:$E$97,MATCH(INDEX(HIDDEN!$C$1:$C$96,SMALL(IF(HIDDEN!$B$1:$B$96=$A59&amp;";"&amp;N$1,ROW(HIDDEN!$B$1:$B$96)-ROW(INDEX(HIDDEN!$B$1:$B$96,1,1))+1),N$2)),'1)qPCR'!$A$2:$A$97,0)),"")</f>
        <v/>
      </c>
      <c r="O59" s="32" t="str">
        <f t="array" ref="O59">IFERROR(INDEX('1)qPCR'!$E$2:$E$97,MATCH(INDEX(HIDDEN!$C$1:$C$96,SMALL(IF(HIDDEN!$B$1:$B$96=$A59&amp;";"&amp;O$1,ROW(HIDDEN!$B$1:$B$96)-ROW(INDEX(HIDDEN!$B$1:$B$96,1,1))+1),O$2)),'1)qPCR'!$A$2:$A$97,0)),"")</f>
        <v/>
      </c>
      <c r="P59" s="7" t="str">
        <f t="shared" si="41"/>
        <v/>
      </c>
      <c r="Q59" s="18" t="str">
        <f t="shared" si="53"/>
        <v/>
      </c>
      <c r="R59" s="7" t="str">
        <f t="shared" si="42"/>
        <v/>
      </c>
      <c r="S59" s="18" t="str">
        <f t="shared" si="54"/>
        <v/>
      </c>
      <c r="T59" s="10" t="str">
        <f t="shared" si="55"/>
        <v/>
      </c>
      <c r="U59" s="10" t="str">
        <f t="shared" si="22"/>
        <v/>
      </c>
      <c r="V59" s="17" t="str">
        <f t="shared" si="23"/>
        <v/>
      </c>
      <c r="W59" s="17" t="str">
        <f t="shared" si="24"/>
        <v/>
      </c>
      <c r="X59" s="17" t="str">
        <f t="shared" si="49"/>
        <v/>
      </c>
      <c r="Y59" s="17" t="str">
        <f t="shared" si="50"/>
        <v/>
      </c>
      <c r="Z59" s="17" t="str">
        <f t="shared" si="6"/>
        <v/>
      </c>
      <c r="AA59" s="17" t="str">
        <f t="shared" si="7"/>
        <v/>
      </c>
      <c r="AB59" s="17" t="str">
        <f t="shared" si="51"/>
        <v/>
      </c>
      <c r="AC59" s="17" t="str">
        <f t="shared" si="52"/>
        <v/>
      </c>
      <c r="AD59" s="17" t="str">
        <f t="shared" si="10"/>
        <v/>
      </c>
      <c r="AE59" s="17" t="str">
        <f t="shared" si="11"/>
        <v/>
      </c>
      <c r="AF59" s="17" t="str">
        <f t="shared" si="12"/>
        <v/>
      </c>
      <c r="AG59" s="17">
        <f t="shared" si="26"/>
        <v>0</v>
      </c>
      <c r="AH59" s="17">
        <f t="shared" si="13"/>
        <v>0</v>
      </c>
      <c r="AI59" s="17">
        <f t="shared" si="27"/>
        <v>0</v>
      </c>
      <c r="AJ59" s="17" t="str">
        <f>IF(AP59="","",IF(AP59&lt;=RANGES!$A$8,1,IF(AP59&lt;=RANGES!$A$9,2,IF(AP59&lt;=RANGES!$A$10,3,IF(AP59&lt;=RANGES!$A$11,4,IF(AP59&lt;=RANGES!$A$12,5,IF(AP59&lt;=RANGES!$A$13,6,IF(AP59&lt;=RANGES!$A$14,7,8))))))))</f>
        <v/>
      </c>
      <c r="AK59" s="17" t="str">
        <f ca="1">IFERROR(INDEX(RANGES!$C$7:$H$7,1,IF(AO59&lt;=INDIRECT("RANGES!C"&amp;7+AJ59),1,IF(AO59&lt;=INDIRECT("RANGES!D"&amp;7+AJ59),2,IF(AO59&lt;=INDIRECT("RANGES!E"&amp;7+AJ59),3,IF(AO59&lt;=INDIRECT("RANGES!F"&amp;7+AJ59),4,IF(AO59&lt;=INDIRECT("RANGES!G"&amp;7+AJ59),5,6)))))),"")</f>
        <v/>
      </c>
      <c r="AL59" s="17">
        <f t="shared" si="43"/>
        <v>0</v>
      </c>
      <c r="AM59" s="17" t="str">
        <f t="shared" si="44"/>
        <v/>
      </c>
      <c r="AN59" s="17" t="str">
        <f t="shared" si="28"/>
        <v/>
      </c>
      <c r="AO59" s="17" t="str">
        <f t="shared" si="29"/>
        <v/>
      </c>
      <c r="AP59" s="17" t="str">
        <f t="shared" si="45"/>
        <v/>
      </c>
      <c r="AQ59" s="17" t="str">
        <f t="shared" si="30"/>
        <v/>
      </c>
      <c r="AR59" s="17" t="str">
        <f t="shared" si="31"/>
        <v/>
      </c>
      <c r="AS59" s="17" t="str">
        <f t="shared" si="32"/>
        <v/>
      </c>
      <c r="AT59" s="7" t="str">
        <f t="shared" si="46"/>
        <v/>
      </c>
      <c r="AU59" s="10" t="str">
        <f t="shared" si="33"/>
        <v/>
      </c>
      <c r="AV59" s="7" t="str">
        <f t="shared" si="47"/>
        <v/>
      </c>
      <c r="AW59" s="21" t="str">
        <f t="shared" si="34"/>
        <v/>
      </c>
      <c r="AX59" s="21" t="str">
        <f t="shared" si="48"/>
        <v/>
      </c>
      <c r="AY59" s="7" t="str">
        <f t="shared" si="35"/>
        <v/>
      </c>
      <c r="AZ59" s="7" t="str">
        <f t="shared" si="36"/>
        <v/>
      </c>
    </row>
    <row r="60" spans="1:52" ht="13.2">
      <c r="A60" s="7" t="str">
        <f>HIDDEN!H59</f>
        <v/>
      </c>
      <c r="B60" s="7" t="str">
        <f>IFERROR(MATCH(A60,'3)PACIENTES'!$A$2:$A$97,0),"")</f>
        <v/>
      </c>
      <c r="C60" s="24" t="str">
        <f>IFERROR(INDEX('3)PACIENTES'!D$2:D$97,SAMPLES!$B60),"")</f>
        <v/>
      </c>
      <c r="D60" s="24" t="str">
        <f>IFERROR(INDEX('3)PACIENTES'!B$2:B$97,SAMPLES!$B60),"")</f>
        <v/>
      </c>
      <c r="E60" s="24" t="str">
        <f>IFERROR(INDEX('3)PACIENTES'!$C$2:$C152,SAMPLES!$B60),"")</f>
        <v/>
      </c>
      <c r="F60" s="22">
        <f>'3)PACIENTES'!$F$2</f>
        <v>44039</v>
      </c>
      <c r="G60" s="13" t="str">
        <f>IFERROR(INDEX('3)PACIENTES'!E$2:E$97,SAMPLES!$B60),"")</f>
        <v/>
      </c>
      <c r="H60" s="17" t="str">
        <f t="shared" si="0"/>
        <v/>
      </c>
      <c r="I60" s="17" t="str">
        <f t="shared" si="20"/>
        <v/>
      </c>
      <c r="J60" s="32" t="str">
        <f t="array" ref="J60">IFERROR(INDEX('1)qPCR'!$E$2:$E$97,MATCH(INDEX(HIDDEN!$C$1:$C$96,SMALL(IF(HIDDEN!$B$1:$B$96=$A60&amp;";"&amp;J$1,ROW(HIDDEN!$B$1:$B$96)-ROW(INDEX(HIDDEN!$B$1:$B$96,1,1))+1),J$2)),'1)qPCR'!$A$2:$A$97,0)),"")</f>
        <v/>
      </c>
      <c r="K60" s="32" t="str">
        <f t="array" ref="K60">IFERROR(INDEX('1)qPCR'!$E$2:$E$97,MATCH(INDEX(HIDDEN!$C$1:$C$96,SMALL(IF(HIDDEN!$B$1:$B$96=$A60&amp;";"&amp;K$1,ROW(HIDDEN!$B$1:$B$96)-ROW(INDEX(HIDDEN!$B$1:$B$96,1,1))+1),K$2)),'1)qPCR'!$A$2:$A$97,0)),"")</f>
        <v/>
      </c>
      <c r="L60" s="32" t="str">
        <f t="array" ref="L60">IFERROR(INDEX('1)qPCR'!$E$2:$E$97,MATCH(INDEX(HIDDEN!$C$1:$C$96,SMALL(IF(HIDDEN!$B$1:$B$96=$A60&amp;";"&amp;L$1,ROW(HIDDEN!$B$1:$B$96)-ROW(INDEX(HIDDEN!$B$1:$B$96,1,1))+1),L$2)),'1)qPCR'!$A$2:$A$97,0)),"")</f>
        <v/>
      </c>
      <c r="M60" s="32" t="str">
        <f t="array" ref="M60">IFERROR(INDEX('1)qPCR'!$E$2:$E$97,MATCH(INDEX(HIDDEN!$C$1:$C$96,SMALL(IF(HIDDEN!$B$1:$B$96=$A60&amp;";"&amp;M$1,ROW(HIDDEN!$B$1:$B$96)-ROW(INDEX(HIDDEN!$B$1:$B$96,1,1))+1),M$2)),'1)qPCR'!$A$2:$A$97,0)),"")</f>
        <v/>
      </c>
      <c r="N60" s="32" t="str">
        <f t="array" ref="N60">IFERROR(INDEX('1)qPCR'!$E$2:$E$97,MATCH(INDEX(HIDDEN!$C$1:$C$96,SMALL(IF(HIDDEN!$B$1:$B$96=$A60&amp;";"&amp;N$1,ROW(HIDDEN!$B$1:$B$96)-ROW(INDEX(HIDDEN!$B$1:$B$96,1,1))+1),N$2)),'1)qPCR'!$A$2:$A$97,0)),"")</f>
        <v/>
      </c>
      <c r="O60" s="32" t="str">
        <f t="array" ref="O60">IFERROR(INDEX('1)qPCR'!$E$2:$E$97,MATCH(INDEX(HIDDEN!$C$1:$C$96,SMALL(IF(HIDDEN!$B$1:$B$96=$A60&amp;";"&amp;O$1,ROW(HIDDEN!$B$1:$B$96)-ROW(INDEX(HIDDEN!$B$1:$B$96,1,1))+1),O$2)),'1)qPCR'!$A$2:$A$97,0)),"")</f>
        <v/>
      </c>
      <c r="P60" s="7" t="str">
        <f t="shared" si="41"/>
        <v/>
      </c>
      <c r="Q60" s="18" t="str">
        <f t="shared" ref="Q60:Q99" si="56">IFERROR(P60/H60,"")</f>
        <v/>
      </c>
      <c r="R60" s="7" t="str">
        <f t="shared" si="42"/>
        <v/>
      </c>
      <c r="S60" s="18" t="str">
        <f t="shared" ref="S60:S99" si="57">IFERROR(R60/I60,"")</f>
        <v/>
      </c>
      <c r="T60" s="10" t="str">
        <f t="shared" ref="T60:T99" si="58">IFERROR(H60-$H$3,"")</f>
        <v/>
      </c>
      <c r="U60" s="10" t="str">
        <f t="shared" si="22"/>
        <v/>
      </c>
      <c r="V60" s="17" t="str">
        <f t="shared" si="23"/>
        <v/>
      </c>
      <c r="W60" s="17" t="str">
        <f t="shared" si="24"/>
        <v/>
      </c>
      <c r="X60" s="17" t="str">
        <f t="shared" si="49"/>
        <v/>
      </c>
      <c r="Y60" s="17" t="str">
        <f t="shared" si="50"/>
        <v/>
      </c>
      <c r="Z60" s="17" t="str">
        <f t="shared" si="6"/>
        <v/>
      </c>
      <c r="AA60" s="17" t="str">
        <f t="shared" si="7"/>
        <v/>
      </c>
      <c r="AB60" s="17" t="str">
        <f t="shared" si="51"/>
        <v/>
      </c>
      <c r="AC60" s="17" t="str">
        <f t="shared" si="52"/>
        <v/>
      </c>
      <c r="AD60" s="17" t="str">
        <f t="shared" si="10"/>
        <v/>
      </c>
      <c r="AE60" s="17" t="str">
        <f t="shared" si="11"/>
        <v/>
      </c>
      <c r="AF60" s="17" t="str">
        <f t="shared" si="12"/>
        <v/>
      </c>
      <c r="AG60" s="17">
        <f t="shared" si="26"/>
        <v>0</v>
      </c>
      <c r="AH60" s="17">
        <f t="shared" si="13"/>
        <v>0</v>
      </c>
      <c r="AI60" s="17">
        <f t="shared" si="27"/>
        <v>0</v>
      </c>
      <c r="AJ60" s="17" t="str">
        <f>IF(AP60="","",IF(AP60&lt;=RANGES!$A$8,1,IF(AP60&lt;=RANGES!$A$9,2,IF(AP60&lt;=RANGES!$A$10,3,IF(AP60&lt;=RANGES!$A$11,4,IF(AP60&lt;=RANGES!$A$12,5,IF(AP60&lt;=RANGES!$A$13,6,IF(AP60&lt;=RANGES!$A$14,7,8))))))))</f>
        <v/>
      </c>
      <c r="AK60" s="17" t="str">
        <f ca="1">IFERROR(INDEX(RANGES!$C$7:$H$7,1,IF(AO60&lt;=INDIRECT("RANGES!C"&amp;7+AJ60),1,IF(AO60&lt;=INDIRECT("RANGES!D"&amp;7+AJ60),2,IF(AO60&lt;=INDIRECT("RANGES!E"&amp;7+AJ60),3,IF(AO60&lt;=INDIRECT("RANGES!F"&amp;7+AJ60),4,IF(AO60&lt;=INDIRECT("RANGES!G"&amp;7+AJ60),5,6)))))),"")</f>
        <v/>
      </c>
      <c r="AL60" s="17">
        <f t="shared" si="43"/>
        <v>0</v>
      </c>
      <c r="AM60" s="17" t="str">
        <f t="shared" si="44"/>
        <v/>
      </c>
      <c r="AN60" s="17" t="str">
        <f t="shared" si="28"/>
        <v/>
      </c>
      <c r="AO60" s="17" t="str">
        <f t="shared" si="29"/>
        <v/>
      </c>
      <c r="AP60" s="17" t="str">
        <f t="shared" si="45"/>
        <v/>
      </c>
      <c r="AQ60" s="17" t="str">
        <f t="shared" si="30"/>
        <v/>
      </c>
      <c r="AR60" s="17" t="str">
        <f t="shared" si="31"/>
        <v/>
      </c>
      <c r="AS60" s="17" t="str">
        <f t="shared" si="32"/>
        <v/>
      </c>
      <c r="AT60" s="7" t="str">
        <f t="shared" si="46"/>
        <v/>
      </c>
      <c r="AU60" s="10" t="str">
        <f t="shared" si="33"/>
        <v/>
      </c>
      <c r="AV60" s="7" t="str">
        <f t="shared" si="47"/>
        <v/>
      </c>
      <c r="AW60" s="21" t="str">
        <f t="shared" si="34"/>
        <v/>
      </c>
      <c r="AX60" s="21" t="str">
        <f t="shared" si="48"/>
        <v/>
      </c>
      <c r="AY60" s="7" t="str">
        <f t="shared" si="35"/>
        <v/>
      </c>
      <c r="AZ60" s="7" t="str">
        <f t="shared" si="36"/>
        <v/>
      </c>
    </row>
    <row r="61" spans="1:52" ht="13.2">
      <c r="A61" s="7" t="str">
        <f>HIDDEN!H60</f>
        <v/>
      </c>
      <c r="B61" s="7" t="str">
        <f>IFERROR(MATCH(A61,'3)PACIENTES'!$A$2:$A$97,0),"")</f>
        <v/>
      </c>
      <c r="C61" s="24" t="str">
        <f>IFERROR(INDEX('3)PACIENTES'!D$2:D$97,SAMPLES!$B61),"")</f>
        <v/>
      </c>
      <c r="D61" s="24" t="str">
        <f>IFERROR(INDEX('3)PACIENTES'!B$2:B$97,SAMPLES!$B61),"")</f>
        <v/>
      </c>
      <c r="E61" s="24" t="str">
        <f>IFERROR(INDEX('3)PACIENTES'!$C$2:$C153,SAMPLES!$B61),"")</f>
        <v/>
      </c>
      <c r="F61" s="22">
        <f>'3)PACIENTES'!$F$2</f>
        <v>44039</v>
      </c>
      <c r="G61" s="13" t="str">
        <f>IFERROR(INDEX('3)PACIENTES'!E$2:E$97,SAMPLES!$B61),"")</f>
        <v/>
      </c>
      <c r="H61" s="17" t="str">
        <f t="shared" si="0"/>
        <v/>
      </c>
      <c r="I61" s="17" t="str">
        <f t="shared" si="20"/>
        <v/>
      </c>
      <c r="J61" s="32" t="str">
        <f t="array" ref="J61">IFERROR(INDEX('1)qPCR'!$E$2:$E$97,MATCH(INDEX(HIDDEN!$C$1:$C$96,SMALL(IF(HIDDEN!$B$1:$B$96=$A61&amp;";"&amp;J$1,ROW(HIDDEN!$B$1:$B$96)-ROW(INDEX(HIDDEN!$B$1:$B$96,1,1))+1),J$2)),'1)qPCR'!$A$2:$A$97,0)),"")</f>
        <v/>
      </c>
      <c r="K61" s="32" t="str">
        <f t="array" ref="K61">IFERROR(INDEX('1)qPCR'!$E$2:$E$97,MATCH(INDEX(HIDDEN!$C$1:$C$96,SMALL(IF(HIDDEN!$B$1:$B$96=$A61&amp;";"&amp;K$1,ROW(HIDDEN!$B$1:$B$96)-ROW(INDEX(HIDDEN!$B$1:$B$96,1,1))+1),K$2)),'1)qPCR'!$A$2:$A$97,0)),"")</f>
        <v/>
      </c>
      <c r="L61" s="32" t="str">
        <f t="array" ref="L61">IFERROR(INDEX('1)qPCR'!$E$2:$E$97,MATCH(INDEX(HIDDEN!$C$1:$C$96,SMALL(IF(HIDDEN!$B$1:$B$96=$A61&amp;";"&amp;L$1,ROW(HIDDEN!$B$1:$B$96)-ROW(INDEX(HIDDEN!$B$1:$B$96,1,1))+1),L$2)),'1)qPCR'!$A$2:$A$97,0)),"")</f>
        <v/>
      </c>
      <c r="M61" s="32" t="str">
        <f t="array" ref="M61">IFERROR(INDEX('1)qPCR'!$E$2:$E$97,MATCH(INDEX(HIDDEN!$C$1:$C$96,SMALL(IF(HIDDEN!$B$1:$B$96=$A61&amp;";"&amp;M$1,ROW(HIDDEN!$B$1:$B$96)-ROW(INDEX(HIDDEN!$B$1:$B$96,1,1))+1),M$2)),'1)qPCR'!$A$2:$A$97,0)),"")</f>
        <v/>
      </c>
      <c r="N61" s="32" t="str">
        <f t="array" ref="N61">IFERROR(INDEX('1)qPCR'!$E$2:$E$97,MATCH(INDEX(HIDDEN!$C$1:$C$96,SMALL(IF(HIDDEN!$B$1:$B$96=$A61&amp;";"&amp;N$1,ROW(HIDDEN!$B$1:$B$96)-ROW(INDEX(HIDDEN!$B$1:$B$96,1,1))+1),N$2)),'1)qPCR'!$A$2:$A$97,0)),"")</f>
        <v/>
      </c>
      <c r="O61" s="32" t="str">
        <f t="array" ref="O61">IFERROR(INDEX('1)qPCR'!$E$2:$E$97,MATCH(INDEX(HIDDEN!$C$1:$C$96,SMALL(IF(HIDDEN!$B$1:$B$96=$A61&amp;";"&amp;O$1,ROW(HIDDEN!$B$1:$B$96)-ROW(INDEX(HIDDEN!$B$1:$B$96,1,1))+1),O$2)),'1)qPCR'!$A$2:$A$97,0)),"")</f>
        <v/>
      </c>
      <c r="P61" s="7" t="str">
        <f t="shared" si="41"/>
        <v/>
      </c>
      <c r="Q61" s="18" t="str">
        <f t="shared" si="56"/>
        <v/>
      </c>
      <c r="R61" s="7" t="str">
        <f t="shared" si="42"/>
        <v/>
      </c>
      <c r="S61" s="18" t="str">
        <f t="shared" si="57"/>
        <v/>
      </c>
      <c r="T61" s="10" t="str">
        <f t="shared" si="58"/>
        <v/>
      </c>
      <c r="U61" s="10" t="str">
        <f t="shared" si="22"/>
        <v/>
      </c>
      <c r="V61" s="17" t="str">
        <f t="shared" si="23"/>
        <v/>
      </c>
      <c r="W61" s="17" t="str">
        <f t="shared" si="24"/>
        <v/>
      </c>
      <c r="X61" s="17" t="str">
        <f t="shared" si="49"/>
        <v/>
      </c>
      <c r="Y61" s="17" t="str">
        <f t="shared" si="50"/>
        <v/>
      </c>
      <c r="Z61" s="17" t="str">
        <f t="shared" si="6"/>
        <v/>
      </c>
      <c r="AA61" s="17" t="str">
        <f t="shared" si="7"/>
        <v/>
      </c>
      <c r="AB61" s="17" t="str">
        <f t="shared" si="51"/>
        <v/>
      </c>
      <c r="AC61" s="17" t="str">
        <f t="shared" si="52"/>
        <v/>
      </c>
      <c r="AD61" s="17" t="str">
        <f t="shared" si="10"/>
        <v/>
      </c>
      <c r="AE61" s="17" t="str">
        <f t="shared" si="11"/>
        <v/>
      </c>
      <c r="AF61" s="17" t="str">
        <f t="shared" si="12"/>
        <v/>
      </c>
      <c r="AG61" s="17">
        <f t="shared" si="26"/>
        <v>0</v>
      </c>
      <c r="AH61" s="17">
        <f t="shared" si="13"/>
        <v>0</v>
      </c>
      <c r="AI61" s="17">
        <f t="shared" si="27"/>
        <v>0</v>
      </c>
      <c r="AJ61" s="17" t="str">
        <f>IF(AP61="","",IF(AP61&lt;=RANGES!$A$8,1,IF(AP61&lt;=RANGES!$A$9,2,IF(AP61&lt;=RANGES!$A$10,3,IF(AP61&lt;=RANGES!$A$11,4,IF(AP61&lt;=RANGES!$A$12,5,IF(AP61&lt;=RANGES!$A$13,6,IF(AP61&lt;=RANGES!$A$14,7,8))))))))</f>
        <v/>
      </c>
      <c r="AK61" s="17" t="str">
        <f ca="1">IFERROR(INDEX(RANGES!$C$7:$H$7,1,IF(AO61&lt;=INDIRECT("RANGES!C"&amp;7+AJ61),1,IF(AO61&lt;=INDIRECT("RANGES!D"&amp;7+AJ61),2,IF(AO61&lt;=INDIRECT("RANGES!E"&amp;7+AJ61),3,IF(AO61&lt;=INDIRECT("RANGES!F"&amp;7+AJ61),4,IF(AO61&lt;=INDIRECT("RANGES!G"&amp;7+AJ61),5,6)))))),"")</f>
        <v/>
      </c>
      <c r="AL61" s="17">
        <f t="shared" si="43"/>
        <v>0</v>
      </c>
      <c r="AM61" s="17" t="str">
        <f t="shared" si="44"/>
        <v/>
      </c>
      <c r="AN61" s="17" t="str">
        <f t="shared" si="28"/>
        <v/>
      </c>
      <c r="AO61" s="17" t="str">
        <f t="shared" si="29"/>
        <v/>
      </c>
      <c r="AP61" s="17" t="str">
        <f t="shared" si="45"/>
        <v/>
      </c>
      <c r="AQ61" s="17" t="str">
        <f t="shared" si="30"/>
        <v/>
      </c>
      <c r="AR61" s="17" t="str">
        <f t="shared" si="31"/>
        <v/>
      </c>
      <c r="AS61" s="17" t="str">
        <f t="shared" si="32"/>
        <v/>
      </c>
      <c r="AT61" s="7" t="str">
        <f t="shared" si="46"/>
        <v/>
      </c>
      <c r="AU61" s="10" t="str">
        <f t="shared" si="33"/>
        <v/>
      </c>
      <c r="AV61" s="7" t="str">
        <f t="shared" si="47"/>
        <v/>
      </c>
      <c r="AW61" s="21" t="str">
        <f t="shared" si="34"/>
        <v/>
      </c>
      <c r="AX61" s="21" t="str">
        <f t="shared" si="48"/>
        <v/>
      </c>
      <c r="AY61" s="7" t="str">
        <f t="shared" si="35"/>
        <v/>
      </c>
      <c r="AZ61" s="7" t="str">
        <f t="shared" si="36"/>
        <v/>
      </c>
    </row>
    <row r="62" spans="1:52" ht="13.2">
      <c r="A62" s="7" t="str">
        <f>HIDDEN!H61</f>
        <v/>
      </c>
      <c r="B62" s="7" t="str">
        <f>IFERROR(MATCH(A62,'3)PACIENTES'!$A$2:$A$97,0),"")</f>
        <v/>
      </c>
      <c r="C62" s="24" t="str">
        <f>IFERROR(INDEX('3)PACIENTES'!D$2:D$97,SAMPLES!$B62),"")</f>
        <v/>
      </c>
      <c r="D62" s="24" t="str">
        <f>IFERROR(INDEX('3)PACIENTES'!B$2:B$97,SAMPLES!$B62),"")</f>
        <v/>
      </c>
      <c r="E62" s="24" t="str">
        <f>IFERROR(INDEX('3)PACIENTES'!$C$2:$C154,SAMPLES!$B62),"")</f>
        <v/>
      </c>
      <c r="F62" s="22">
        <f>'3)PACIENTES'!$F$2</f>
        <v>44039</v>
      </c>
      <c r="G62" s="13" t="str">
        <f>IFERROR(INDEX('3)PACIENTES'!E$2:E$97,SAMPLES!$B62),"")</f>
        <v/>
      </c>
      <c r="H62" s="17" t="str">
        <f t="shared" si="0"/>
        <v/>
      </c>
      <c r="I62" s="17" t="str">
        <f t="shared" si="20"/>
        <v/>
      </c>
      <c r="J62" s="32" t="str">
        <f t="array" ref="J62">IFERROR(INDEX('1)qPCR'!$E$2:$E$97,MATCH(INDEX(HIDDEN!$C$1:$C$96,SMALL(IF(HIDDEN!$B$1:$B$96=$A62&amp;";"&amp;J$1,ROW(HIDDEN!$B$1:$B$96)-ROW(INDEX(HIDDEN!$B$1:$B$96,1,1))+1),J$2)),'1)qPCR'!$A$2:$A$97,0)),"")</f>
        <v/>
      </c>
      <c r="K62" s="32" t="str">
        <f t="array" ref="K62">IFERROR(INDEX('1)qPCR'!$E$2:$E$97,MATCH(INDEX(HIDDEN!$C$1:$C$96,SMALL(IF(HIDDEN!$B$1:$B$96=$A62&amp;";"&amp;K$1,ROW(HIDDEN!$B$1:$B$96)-ROW(INDEX(HIDDEN!$B$1:$B$96,1,1))+1),K$2)),'1)qPCR'!$A$2:$A$97,0)),"")</f>
        <v/>
      </c>
      <c r="L62" s="32" t="str">
        <f t="array" ref="L62">IFERROR(INDEX('1)qPCR'!$E$2:$E$97,MATCH(INDEX(HIDDEN!$C$1:$C$96,SMALL(IF(HIDDEN!$B$1:$B$96=$A62&amp;";"&amp;L$1,ROW(HIDDEN!$B$1:$B$96)-ROW(INDEX(HIDDEN!$B$1:$B$96,1,1))+1),L$2)),'1)qPCR'!$A$2:$A$97,0)),"")</f>
        <v/>
      </c>
      <c r="M62" s="32" t="str">
        <f t="array" ref="M62">IFERROR(INDEX('1)qPCR'!$E$2:$E$97,MATCH(INDEX(HIDDEN!$C$1:$C$96,SMALL(IF(HIDDEN!$B$1:$B$96=$A62&amp;";"&amp;M$1,ROW(HIDDEN!$B$1:$B$96)-ROW(INDEX(HIDDEN!$B$1:$B$96,1,1))+1),M$2)),'1)qPCR'!$A$2:$A$97,0)),"")</f>
        <v/>
      </c>
      <c r="N62" s="32" t="str">
        <f t="array" ref="N62">IFERROR(INDEX('1)qPCR'!$E$2:$E$97,MATCH(INDEX(HIDDEN!$C$1:$C$96,SMALL(IF(HIDDEN!$B$1:$B$96=$A62&amp;";"&amp;N$1,ROW(HIDDEN!$B$1:$B$96)-ROW(INDEX(HIDDEN!$B$1:$B$96,1,1))+1),N$2)),'1)qPCR'!$A$2:$A$97,0)),"")</f>
        <v/>
      </c>
      <c r="O62" s="32" t="str">
        <f t="array" ref="O62">IFERROR(INDEX('1)qPCR'!$E$2:$E$97,MATCH(INDEX(HIDDEN!$C$1:$C$96,SMALL(IF(HIDDEN!$B$1:$B$96=$A62&amp;";"&amp;O$1,ROW(HIDDEN!$B$1:$B$96)-ROW(INDEX(HIDDEN!$B$1:$B$96,1,1))+1),O$2)),'1)qPCR'!$A$2:$A$97,0)),"")</f>
        <v/>
      </c>
      <c r="P62" s="7" t="str">
        <f t="shared" si="41"/>
        <v/>
      </c>
      <c r="Q62" s="18" t="str">
        <f t="shared" si="56"/>
        <v/>
      </c>
      <c r="R62" s="7" t="str">
        <f t="shared" si="42"/>
        <v/>
      </c>
      <c r="S62" s="18" t="str">
        <f t="shared" si="57"/>
        <v/>
      </c>
      <c r="T62" s="10" t="str">
        <f t="shared" si="58"/>
        <v/>
      </c>
      <c r="U62" s="10" t="str">
        <f t="shared" si="22"/>
        <v/>
      </c>
      <c r="V62" s="17" t="str">
        <f t="shared" si="23"/>
        <v/>
      </c>
      <c r="W62" s="17" t="str">
        <f t="shared" si="24"/>
        <v/>
      </c>
      <c r="X62" s="17" t="str">
        <f t="shared" si="49"/>
        <v/>
      </c>
      <c r="Y62" s="17" t="str">
        <f t="shared" si="50"/>
        <v/>
      </c>
      <c r="Z62" s="17" t="str">
        <f t="shared" si="6"/>
        <v/>
      </c>
      <c r="AA62" s="17" t="str">
        <f t="shared" si="7"/>
        <v/>
      </c>
      <c r="AB62" s="17" t="str">
        <f t="shared" si="51"/>
        <v/>
      </c>
      <c r="AC62" s="17" t="str">
        <f t="shared" si="52"/>
        <v/>
      </c>
      <c r="AD62" s="17" t="str">
        <f t="shared" si="10"/>
        <v/>
      </c>
      <c r="AE62" s="17" t="str">
        <f t="shared" si="11"/>
        <v/>
      </c>
      <c r="AF62" s="17" t="str">
        <f t="shared" si="12"/>
        <v/>
      </c>
      <c r="AG62" s="17">
        <f t="shared" si="26"/>
        <v>0</v>
      </c>
      <c r="AH62" s="17">
        <f t="shared" si="13"/>
        <v>0</v>
      </c>
      <c r="AI62" s="17">
        <f t="shared" si="27"/>
        <v>0</v>
      </c>
      <c r="AJ62" s="17" t="str">
        <f>IF(AP62="","",IF(AP62&lt;=RANGES!$A$8,1,IF(AP62&lt;=RANGES!$A$9,2,IF(AP62&lt;=RANGES!$A$10,3,IF(AP62&lt;=RANGES!$A$11,4,IF(AP62&lt;=RANGES!$A$12,5,IF(AP62&lt;=RANGES!$A$13,6,IF(AP62&lt;=RANGES!$A$14,7,8))))))))</f>
        <v/>
      </c>
      <c r="AK62" s="17" t="str">
        <f ca="1">IFERROR(INDEX(RANGES!$C$7:$H$7,1,IF(AO62&lt;=INDIRECT("RANGES!C"&amp;7+AJ62),1,IF(AO62&lt;=INDIRECT("RANGES!D"&amp;7+AJ62),2,IF(AO62&lt;=INDIRECT("RANGES!E"&amp;7+AJ62),3,IF(AO62&lt;=INDIRECT("RANGES!F"&amp;7+AJ62),4,IF(AO62&lt;=INDIRECT("RANGES!G"&amp;7+AJ62),5,6)))))),"")</f>
        <v/>
      </c>
      <c r="AL62" s="17">
        <f t="shared" si="43"/>
        <v>0</v>
      </c>
      <c r="AM62" s="17" t="str">
        <f t="shared" si="44"/>
        <v/>
      </c>
      <c r="AN62" s="17" t="str">
        <f t="shared" si="28"/>
        <v/>
      </c>
      <c r="AO62" s="17" t="str">
        <f t="shared" si="29"/>
        <v/>
      </c>
      <c r="AP62" s="17" t="str">
        <f t="shared" si="45"/>
        <v/>
      </c>
      <c r="AQ62" s="17" t="str">
        <f t="shared" si="30"/>
        <v/>
      </c>
      <c r="AR62" s="17" t="str">
        <f t="shared" si="31"/>
        <v/>
      </c>
      <c r="AS62" s="17" t="str">
        <f t="shared" si="32"/>
        <v/>
      </c>
      <c r="AT62" s="7" t="str">
        <f t="shared" si="46"/>
        <v/>
      </c>
      <c r="AU62" s="10" t="str">
        <f t="shared" si="33"/>
        <v/>
      </c>
      <c r="AV62" s="7" t="str">
        <f t="shared" si="47"/>
        <v/>
      </c>
      <c r="AW62" s="21" t="str">
        <f t="shared" si="34"/>
        <v/>
      </c>
      <c r="AX62" s="21" t="str">
        <f t="shared" si="48"/>
        <v/>
      </c>
      <c r="AY62" s="7" t="str">
        <f t="shared" si="35"/>
        <v/>
      </c>
      <c r="AZ62" s="7" t="str">
        <f t="shared" si="36"/>
        <v/>
      </c>
    </row>
    <row r="63" spans="1:52" ht="13.2">
      <c r="A63" s="7" t="str">
        <f>HIDDEN!H62</f>
        <v/>
      </c>
      <c r="B63" s="7" t="str">
        <f>IFERROR(MATCH(A63,'3)PACIENTES'!$A$2:$A$97,0),"")</f>
        <v/>
      </c>
      <c r="C63" s="24" t="str">
        <f>IFERROR(INDEX('3)PACIENTES'!D$2:D$97,SAMPLES!$B63),"")</f>
        <v/>
      </c>
      <c r="D63" s="24" t="str">
        <f>IFERROR(INDEX('3)PACIENTES'!B$2:B$97,SAMPLES!$B63),"")</f>
        <v/>
      </c>
      <c r="E63" s="24" t="str">
        <f>IFERROR(INDEX('3)PACIENTES'!$C$2:$C155,SAMPLES!$B63),"")</f>
        <v/>
      </c>
      <c r="F63" s="22">
        <f>'3)PACIENTES'!$F$2</f>
        <v>44039</v>
      </c>
      <c r="G63" s="13" t="str">
        <f>IFERROR(INDEX('3)PACIENTES'!E$2:E$97,SAMPLES!$B63),"")</f>
        <v/>
      </c>
      <c r="H63" s="17" t="str">
        <f t="shared" si="0"/>
        <v/>
      </c>
      <c r="I63" s="17" t="str">
        <f t="shared" si="20"/>
        <v/>
      </c>
      <c r="J63" s="32" t="str">
        <f t="array" ref="J63">IFERROR(INDEX('1)qPCR'!$E$2:$E$97,MATCH(INDEX(HIDDEN!$C$1:$C$96,SMALL(IF(HIDDEN!$B$1:$B$96=$A63&amp;";"&amp;J$1,ROW(HIDDEN!$B$1:$B$96)-ROW(INDEX(HIDDEN!$B$1:$B$96,1,1))+1),J$2)),'1)qPCR'!$A$2:$A$97,0)),"")</f>
        <v/>
      </c>
      <c r="K63" s="32" t="str">
        <f t="array" ref="K63">IFERROR(INDEX('1)qPCR'!$E$2:$E$97,MATCH(INDEX(HIDDEN!$C$1:$C$96,SMALL(IF(HIDDEN!$B$1:$B$96=$A63&amp;";"&amp;K$1,ROW(HIDDEN!$B$1:$B$96)-ROW(INDEX(HIDDEN!$B$1:$B$96,1,1))+1),K$2)),'1)qPCR'!$A$2:$A$97,0)),"")</f>
        <v/>
      </c>
      <c r="L63" s="32" t="str">
        <f t="array" ref="L63">IFERROR(INDEX('1)qPCR'!$E$2:$E$97,MATCH(INDEX(HIDDEN!$C$1:$C$96,SMALL(IF(HIDDEN!$B$1:$B$96=$A63&amp;";"&amp;L$1,ROW(HIDDEN!$B$1:$B$96)-ROW(INDEX(HIDDEN!$B$1:$B$96,1,1))+1),L$2)),'1)qPCR'!$A$2:$A$97,0)),"")</f>
        <v/>
      </c>
      <c r="M63" s="32" t="str">
        <f t="array" ref="M63">IFERROR(INDEX('1)qPCR'!$E$2:$E$97,MATCH(INDEX(HIDDEN!$C$1:$C$96,SMALL(IF(HIDDEN!$B$1:$B$96=$A63&amp;";"&amp;M$1,ROW(HIDDEN!$B$1:$B$96)-ROW(INDEX(HIDDEN!$B$1:$B$96,1,1))+1),M$2)),'1)qPCR'!$A$2:$A$97,0)),"")</f>
        <v/>
      </c>
      <c r="N63" s="32" t="str">
        <f t="array" ref="N63">IFERROR(INDEX('1)qPCR'!$E$2:$E$97,MATCH(INDEX(HIDDEN!$C$1:$C$96,SMALL(IF(HIDDEN!$B$1:$B$96=$A63&amp;";"&amp;N$1,ROW(HIDDEN!$B$1:$B$96)-ROW(INDEX(HIDDEN!$B$1:$B$96,1,1))+1),N$2)),'1)qPCR'!$A$2:$A$97,0)),"")</f>
        <v/>
      </c>
      <c r="O63" s="32" t="str">
        <f t="array" ref="O63">IFERROR(INDEX('1)qPCR'!$E$2:$E$97,MATCH(INDEX(HIDDEN!$C$1:$C$96,SMALL(IF(HIDDEN!$B$1:$B$96=$A63&amp;";"&amp;O$1,ROW(HIDDEN!$B$1:$B$96)-ROW(INDEX(HIDDEN!$B$1:$B$96,1,1))+1),O$2)),'1)qPCR'!$A$2:$A$97,0)),"")</f>
        <v/>
      </c>
      <c r="P63" s="7" t="str">
        <f t="shared" si="41"/>
        <v/>
      </c>
      <c r="Q63" s="18" t="str">
        <f t="shared" si="56"/>
        <v/>
      </c>
      <c r="R63" s="7" t="str">
        <f t="shared" si="42"/>
        <v/>
      </c>
      <c r="S63" s="18" t="str">
        <f t="shared" si="57"/>
        <v/>
      </c>
      <c r="T63" s="10" t="str">
        <f t="shared" si="58"/>
        <v/>
      </c>
      <c r="U63" s="10" t="str">
        <f t="shared" si="22"/>
        <v/>
      </c>
      <c r="V63" s="17" t="str">
        <f t="shared" si="23"/>
        <v/>
      </c>
      <c r="W63" s="17" t="str">
        <f t="shared" si="24"/>
        <v/>
      </c>
      <c r="X63" s="17" t="str">
        <f t="shared" si="49"/>
        <v/>
      </c>
      <c r="Y63" s="17" t="str">
        <f t="shared" si="50"/>
        <v/>
      </c>
      <c r="Z63" s="17" t="str">
        <f t="shared" si="6"/>
        <v/>
      </c>
      <c r="AA63" s="17" t="str">
        <f t="shared" si="7"/>
        <v/>
      </c>
      <c r="AB63" s="17" t="str">
        <f t="shared" si="51"/>
        <v/>
      </c>
      <c r="AC63" s="17" t="str">
        <f t="shared" si="52"/>
        <v/>
      </c>
      <c r="AD63" s="17" t="str">
        <f t="shared" si="10"/>
        <v/>
      </c>
      <c r="AE63" s="17" t="str">
        <f t="shared" si="11"/>
        <v/>
      </c>
      <c r="AF63" s="17" t="str">
        <f t="shared" si="12"/>
        <v/>
      </c>
      <c r="AG63" s="17">
        <f t="shared" si="26"/>
        <v>0</v>
      </c>
      <c r="AH63" s="17">
        <f t="shared" si="13"/>
        <v>0</v>
      </c>
      <c r="AI63" s="17">
        <f t="shared" si="27"/>
        <v>0</v>
      </c>
      <c r="AJ63" s="17" t="str">
        <f>IF(AP63="","",IF(AP63&lt;=RANGES!$A$8,1,IF(AP63&lt;=RANGES!$A$9,2,IF(AP63&lt;=RANGES!$A$10,3,IF(AP63&lt;=RANGES!$A$11,4,IF(AP63&lt;=RANGES!$A$12,5,IF(AP63&lt;=RANGES!$A$13,6,IF(AP63&lt;=RANGES!$A$14,7,8))))))))</f>
        <v/>
      </c>
      <c r="AK63" s="17" t="str">
        <f ca="1">IFERROR(INDEX(RANGES!$C$7:$H$7,1,IF(AO63&lt;=INDIRECT("RANGES!C"&amp;7+AJ63),1,IF(AO63&lt;=INDIRECT("RANGES!D"&amp;7+AJ63),2,IF(AO63&lt;=INDIRECT("RANGES!E"&amp;7+AJ63),3,IF(AO63&lt;=INDIRECT("RANGES!F"&amp;7+AJ63),4,IF(AO63&lt;=INDIRECT("RANGES!G"&amp;7+AJ63),5,6)))))),"")</f>
        <v/>
      </c>
      <c r="AL63" s="17">
        <f t="shared" si="43"/>
        <v>0</v>
      </c>
      <c r="AM63" s="17" t="str">
        <f t="shared" si="44"/>
        <v/>
      </c>
      <c r="AN63" s="17" t="str">
        <f t="shared" si="28"/>
        <v/>
      </c>
      <c r="AO63" s="17" t="str">
        <f t="shared" si="29"/>
        <v/>
      </c>
      <c r="AP63" s="17" t="str">
        <f t="shared" si="45"/>
        <v/>
      </c>
      <c r="AQ63" s="17" t="str">
        <f t="shared" si="30"/>
        <v/>
      </c>
      <c r="AR63" s="17" t="str">
        <f t="shared" si="31"/>
        <v/>
      </c>
      <c r="AS63" s="17" t="str">
        <f t="shared" si="32"/>
        <v/>
      </c>
      <c r="AT63" s="7" t="str">
        <f t="shared" si="46"/>
        <v/>
      </c>
      <c r="AU63" s="10" t="str">
        <f t="shared" si="33"/>
        <v/>
      </c>
      <c r="AV63" s="7" t="str">
        <f t="shared" si="47"/>
        <v/>
      </c>
      <c r="AW63" s="21" t="str">
        <f t="shared" si="34"/>
        <v/>
      </c>
      <c r="AX63" s="21" t="str">
        <f t="shared" si="48"/>
        <v/>
      </c>
      <c r="AY63" s="7" t="str">
        <f t="shared" si="35"/>
        <v/>
      </c>
      <c r="AZ63" s="7" t="str">
        <f t="shared" si="36"/>
        <v/>
      </c>
    </row>
    <row r="64" spans="1:52" ht="13.2">
      <c r="A64" s="7" t="str">
        <f>HIDDEN!H63</f>
        <v/>
      </c>
      <c r="B64" s="7" t="str">
        <f>IFERROR(MATCH(A64,'3)PACIENTES'!$A$2:$A$97,0),"")</f>
        <v/>
      </c>
      <c r="C64" s="24" t="str">
        <f>IFERROR(INDEX('3)PACIENTES'!D$2:D$97,SAMPLES!$B64),"")</f>
        <v/>
      </c>
      <c r="D64" s="24" t="str">
        <f>IFERROR(INDEX('3)PACIENTES'!B$2:B$97,SAMPLES!$B64),"")</f>
        <v/>
      </c>
      <c r="E64" s="24" t="str">
        <f>IFERROR(INDEX('3)PACIENTES'!$C$2:$C156,SAMPLES!$B64),"")</f>
        <v/>
      </c>
      <c r="F64" s="22">
        <f>'3)PACIENTES'!$F$2</f>
        <v>44039</v>
      </c>
      <c r="G64" s="13" t="str">
        <f>IFERROR(INDEX('3)PACIENTES'!E$2:E$97,SAMPLES!$B64),"")</f>
        <v/>
      </c>
      <c r="H64" s="17" t="str">
        <f t="shared" si="0"/>
        <v/>
      </c>
      <c r="I64" s="17" t="str">
        <f t="shared" si="20"/>
        <v/>
      </c>
      <c r="J64" s="32" t="str">
        <f t="array" ref="J64">IFERROR(INDEX('1)qPCR'!$E$2:$E$97,MATCH(INDEX(HIDDEN!$C$1:$C$96,SMALL(IF(HIDDEN!$B$1:$B$96=$A64&amp;";"&amp;J$1,ROW(HIDDEN!$B$1:$B$96)-ROW(INDEX(HIDDEN!$B$1:$B$96,1,1))+1),J$2)),'1)qPCR'!$A$2:$A$97,0)),"")</f>
        <v/>
      </c>
      <c r="K64" s="32" t="str">
        <f t="array" ref="K64">IFERROR(INDEX('1)qPCR'!$E$2:$E$97,MATCH(INDEX(HIDDEN!$C$1:$C$96,SMALL(IF(HIDDEN!$B$1:$B$96=$A64&amp;";"&amp;K$1,ROW(HIDDEN!$B$1:$B$96)-ROW(INDEX(HIDDEN!$B$1:$B$96,1,1))+1),K$2)),'1)qPCR'!$A$2:$A$97,0)),"")</f>
        <v/>
      </c>
      <c r="L64" s="32" t="str">
        <f t="array" ref="L64">IFERROR(INDEX('1)qPCR'!$E$2:$E$97,MATCH(INDEX(HIDDEN!$C$1:$C$96,SMALL(IF(HIDDEN!$B$1:$B$96=$A64&amp;";"&amp;L$1,ROW(HIDDEN!$B$1:$B$96)-ROW(INDEX(HIDDEN!$B$1:$B$96,1,1))+1),L$2)),'1)qPCR'!$A$2:$A$97,0)),"")</f>
        <v/>
      </c>
      <c r="M64" s="32" t="str">
        <f t="array" ref="M64">IFERROR(INDEX('1)qPCR'!$E$2:$E$97,MATCH(INDEX(HIDDEN!$C$1:$C$96,SMALL(IF(HIDDEN!$B$1:$B$96=$A64&amp;";"&amp;M$1,ROW(HIDDEN!$B$1:$B$96)-ROW(INDEX(HIDDEN!$B$1:$B$96,1,1))+1),M$2)),'1)qPCR'!$A$2:$A$97,0)),"")</f>
        <v/>
      </c>
      <c r="N64" s="32" t="str">
        <f t="array" ref="N64">IFERROR(INDEX('1)qPCR'!$E$2:$E$97,MATCH(INDEX(HIDDEN!$C$1:$C$96,SMALL(IF(HIDDEN!$B$1:$B$96=$A64&amp;";"&amp;N$1,ROW(HIDDEN!$B$1:$B$96)-ROW(INDEX(HIDDEN!$B$1:$B$96,1,1))+1),N$2)),'1)qPCR'!$A$2:$A$97,0)),"")</f>
        <v/>
      </c>
      <c r="O64" s="32" t="str">
        <f t="array" ref="O64">IFERROR(INDEX('1)qPCR'!$E$2:$E$97,MATCH(INDEX(HIDDEN!$C$1:$C$96,SMALL(IF(HIDDEN!$B$1:$B$96=$A64&amp;";"&amp;O$1,ROW(HIDDEN!$B$1:$B$96)-ROW(INDEX(HIDDEN!$B$1:$B$96,1,1))+1),O$2)),'1)qPCR'!$A$2:$A$97,0)),"")</f>
        <v/>
      </c>
      <c r="P64" s="7" t="str">
        <f t="shared" si="41"/>
        <v/>
      </c>
      <c r="Q64" s="18" t="str">
        <f t="shared" si="56"/>
        <v/>
      </c>
      <c r="R64" s="7" t="str">
        <f t="shared" si="42"/>
        <v/>
      </c>
      <c r="S64" s="18" t="str">
        <f t="shared" si="57"/>
        <v/>
      </c>
      <c r="T64" s="10" t="str">
        <f t="shared" si="58"/>
        <v/>
      </c>
      <c r="U64" s="10" t="str">
        <f t="shared" si="22"/>
        <v/>
      </c>
      <c r="V64" s="17" t="str">
        <f t="shared" si="23"/>
        <v/>
      </c>
      <c r="W64" s="17" t="str">
        <f t="shared" si="24"/>
        <v/>
      </c>
      <c r="X64" s="17" t="str">
        <f t="shared" si="49"/>
        <v/>
      </c>
      <c r="Y64" s="17" t="str">
        <f t="shared" si="50"/>
        <v/>
      </c>
      <c r="Z64" s="17" t="str">
        <f t="shared" si="6"/>
        <v/>
      </c>
      <c r="AA64" s="17" t="str">
        <f t="shared" si="7"/>
        <v/>
      </c>
      <c r="AB64" s="17" t="str">
        <f t="shared" si="51"/>
        <v/>
      </c>
      <c r="AC64" s="17" t="str">
        <f t="shared" si="52"/>
        <v/>
      </c>
      <c r="AD64" s="17" t="str">
        <f t="shared" si="10"/>
        <v/>
      </c>
      <c r="AE64" s="17" t="str">
        <f t="shared" si="11"/>
        <v/>
      </c>
      <c r="AF64" s="17" t="str">
        <f t="shared" si="12"/>
        <v/>
      </c>
      <c r="AG64" s="17">
        <f t="shared" si="26"/>
        <v>0</v>
      </c>
      <c r="AH64" s="17">
        <f t="shared" si="13"/>
        <v>0</v>
      </c>
      <c r="AI64" s="17">
        <f t="shared" si="27"/>
        <v>0</v>
      </c>
      <c r="AJ64" s="17" t="str">
        <f>IF(AP64="","",IF(AP64&lt;=RANGES!$A$8,1,IF(AP64&lt;=RANGES!$A$9,2,IF(AP64&lt;=RANGES!$A$10,3,IF(AP64&lt;=RANGES!$A$11,4,IF(AP64&lt;=RANGES!$A$12,5,IF(AP64&lt;=RANGES!$A$13,6,IF(AP64&lt;=RANGES!$A$14,7,8))))))))</f>
        <v/>
      </c>
      <c r="AK64" s="17" t="str">
        <f ca="1">IFERROR(INDEX(RANGES!$C$7:$H$7,1,IF(AO64&lt;=INDIRECT("RANGES!C"&amp;7+AJ64),1,IF(AO64&lt;=INDIRECT("RANGES!D"&amp;7+AJ64),2,IF(AO64&lt;=INDIRECT("RANGES!E"&amp;7+AJ64),3,IF(AO64&lt;=INDIRECT("RANGES!F"&amp;7+AJ64),4,IF(AO64&lt;=INDIRECT("RANGES!G"&amp;7+AJ64),5,6)))))),"")</f>
        <v/>
      </c>
      <c r="AL64" s="17">
        <f t="shared" si="43"/>
        <v>0</v>
      </c>
      <c r="AM64" s="17" t="str">
        <f t="shared" si="44"/>
        <v/>
      </c>
      <c r="AN64" s="17" t="str">
        <f t="shared" si="28"/>
        <v/>
      </c>
      <c r="AO64" s="17" t="str">
        <f t="shared" si="29"/>
        <v/>
      </c>
      <c r="AP64" s="17" t="str">
        <f t="shared" si="45"/>
        <v/>
      </c>
      <c r="AQ64" s="17" t="str">
        <f t="shared" si="30"/>
        <v/>
      </c>
      <c r="AR64" s="17" t="str">
        <f t="shared" si="31"/>
        <v/>
      </c>
      <c r="AS64" s="17" t="str">
        <f t="shared" si="32"/>
        <v/>
      </c>
      <c r="AT64" s="7" t="str">
        <f t="shared" si="46"/>
        <v/>
      </c>
      <c r="AU64" s="10" t="str">
        <f t="shared" si="33"/>
        <v/>
      </c>
      <c r="AV64" s="7" t="str">
        <f t="shared" si="47"/>
        <v/>
      </c>
      <c r="AW64" s="21" t="str">
        <f t="shared" si="34"/>
        <v/>
      </c>
      <c r="AX64" s="21" t="str">
        <f t="shared" si="48"/>
        <v/>
      </c>
      <c r="AY64" s="7" t="str">
        <f t="shared" si="35"/>
        <v/>
      </c>
      <c r="AZ64" s="7" t="str">
        <f t="shared" si="36"/>
        <v/>
      </c>
    </row>
    <row r="65" spans="1:52" ht="13.2">
      <c r="A65" s="7" t="str">
        <f>HIDDEN!H64</f>
        <v/>
      </c>
      <c r="B65" s="7" t="str">
        <f>IFERROR(MATCH(A65,'3)PACIENTES'!$A$2:$A$97,0),"")</f>
        <v/>
      </c>
      <c r="C65" s="24" t="str">
        <f>IFERROR(INDEX('3)PACIENTES'!D$2:D$97,SAMPLES!$B65),"")</f>
        <v/>
      </c>
      <c r="D65" s="24" t="str">
        <f>IFERROR(INDEX('3)PACIENTES'!B$2:B$97,SAMPLES!$B65),"")</f>
        <v/>
      </c>
      <c r="E65" s="24" t="str">
        <f>IFERROR(INDEX('3)PACIENTES'!$C$2:$C157,SAMPLES!$B65),"")</f>
        <v/>
      </c>
      <c r="F65" s="22">
        <f>'3)PACIENTES'!$F$2</f>
        <v>44039</v>
      </c>
      <c r="G65" s="13" t="str">
        <f>IFERROR(INDEX('3)PACIENTES'!E$2:E$97,SAMPLES!$B65),"")</f>
        <v/>
      </c>
      <c r="H65" s="17" t="str">
        <f t="shared" si="0"/>
        <v/>
      </c>
      <c r="I65" s="17" t="str">
        <f t="shared" si="20"/>
        <v/>
      </c>
      <c r="J65" s="32" t="str">
        <f t="array" ref="J65">IFERROR(INDEX('1)qPCR'!$E$2:$E$97,MATCH(INDEX(HIDDEN!$C$1:$C$96,SMALL(IF(HIDDEN!$B$1:$B$96=$A65&amp;";"&amp;J$1,ROW(HIDDEN!$B$1:$B$96)-ROW(INDEX(HIDDEN!$B$1:$B$96,1,1))+1),J$2)),'1)qPCR'!$A$2:$A$97,0)),"")</f>
        <v/>
      </c>
      <c r="K65" s="32" t="str">
        <f t="array" ref="K65">IFERROR(INDEX('1)qPCR'!$E$2:$E$97,MATCH(INDEX(HIDDEN!$C$1:$C$96,SMALL(IF(HIDDEN!$B$1:$B$96=$A65&amp;";"&amp;K$1,ROW(HIDDEN!$B$1:$B$96)-ROW(INDEX(HIDDEN!$B$1:$B$96,1,1))+1),K$2)),'1)qPCR'!$A$2:$A$97,0)),"")</f>
        <v/>
      </c>
      <c r="L65" s="32" t="str">
        <f t="array" ref="L65">IFERROR(INDEX('1)qPCR'!$E$2:$E$97,MATCH(INDEX(HIDDEN!$C$1:$C$96,SMALL(IF(HIDDEN!$B$1:$B$96=$A65&amp;";"&amp;L$1,ROW(HIDDEN!$B$1:$B$96)-ROW(INDEX(HIDDEN!$B$1:$B$96,1,1))+1),L$2)),'1)qPCR'!$A$2:$A$97,0)),"")</f>
        <v/>
      </c>
      <c r="M65" s="32" t="str">
        <f t="array" ref="M65">IFERROR(INDEX('1)qPCR'!$E$2:$E$97,MATCH(INDEX(HIDDEN!$C$1:$C$96,SMALL(IF(HIDDEN!$B$1:$B$96=$A65&amp;";"&amp;M$1,ROW(HIDDEN!$B$1:$B$96)-ROW(INDEX(HIDDEN!$B$1:$B$96,1,1))+1),M$2)),'1)qPCR'!$A$2:$A$97,0)),"")</f>
        <v/>
      </c>
      <c r="N65" s="32" t="str">
        <f t="array" ref="N65">IFERROR(INDEX('1)qPCR'!$E$2:$E$97,MATCH(INDEX(HIDDEN!$C$1:$C$96,SMALL(IF(HIDDEN!$B$1:$B$96=$A65&amp;";"&amp;N$1,ROW(HIDDEN!$B$1:$B$96)-ROW(INDEX(HIDDEN!$B$1:$B$96,1,1))+1),N$2)),'1)qPCR'!$A$2:$A$97,0)),"")</f>
        <v/>
      </c>
      <c r="O65" s="32" t="str">
        <f t="array" ref="O65">IFERROR(INDEX('1)qPCR'!$E$2:$E$97,MATCH(INDEX(HIDDEN!$C$1:$C$96,SMALL(IF(HIDDEN!$B$1:$B$96=$A65&amp;";"&amp;O$1,ROW(HIDDEN!$B$1:$B$96)-ROW(INDEX(HIDDEN!$B$1:$B$96,1,1))+1),O$2)),'1)qPCR'!$A$2:$A$97,0)),"")</f>
        <v/>
      </c>
      <c r="P65" s="7" t="str">
        <f t="shared" si="41"/>
        <v/>
      </c>
      <c r="Q65" s="18" t="str">
        <f t="shared" si="56"/>
        <v/>
      </c>
      <c r="R65" s="7" t="str">
        <f t="shared" si="42"/>
        <v/>
      </c>
      <c r="S65" s="18" t="str">
        <f t="shared" si="57"/>
        <v/>
      </c>
      <c r="T65" s="10" t="str">
        <f t="shared" si="58"/>
        <v/>
      </c>
      <c r="U65" s="10" t="str">
        <f t="shared" si="22"/>
        <v/>
      </c>
      <c r="V65" s="17" t="str">
        <f t="shared" si="23"/>
        <v/>
      </c>
      <c r="W65" s="17" t="str">
        <f t="shared" si="24"/>
        <v/>
      </c>
      <c r="X65" s="17" t="str">
        <f t="shared" si="49"/>
        <v/>
      </c>
      <c r="Y65" s="17" t="str">
        <f t="shared" si="50"/>
        <v/>
      </c>
      <c r="Z65" s="17" t="str">
        <f t="shared" si="6"/>
        <v/>
      </c>
      <c r="AA65" s="17" t="str">
        <f t="shared" si="7"/>
        <v/>
      </c>
      <c r="AB65" s="17" t="str">
        <f t="shared" si="51"/>
        <v/>
      </c>
      <c r="AC65" s="17" t="str">
        <f t="shared" si="52"/>
        <v/>
      </c>
      <c r="AD65" s="17" t="str">
        <f t="shared" si="10"/>
        <v/>
      </c>
      <c r="AE65" s="17" t="str">
        <f t="shared" si="11"/>
        <v/>
      </c>
      <c r="AF65" s="17" t="str">
        <f t="shared" si="12"/>
        <v/>
      </c>
      <c r="AG65" s="17">
        <f t="shared" si="26"/>
        <v>0</v>
      </c>
      <c r="AH65" s="17">
        <f t="shared" si="13"/>
        <v>0</v>
      </c>
      <c r="AI65" s="17">
        <f t="shared" si="27"/>
        <v>0</v>
      </c>
      <c r="AJ65" s="17" t="str">
        <f>IF(AP65="","",IF(AP65&lt;=RANGES!$A$8,1,IF(AP65&lt;=RANGES!$A$9,2,IF(AP65&lt;=RANGES!$A$10,3,IF(AP65&lt;=RANGES!$A$11,4,IF(AP65&lt;=RANGES!$A$12,5,IF(AP65&lt;=RANGES!$A$13,6,IF(AP65&lt;=RANGES!$A$14,7,8))))))))</f>
        <v/>
      </c>
      <c r="AK65" s="17" t="str">
        <f ca="1">IFERROR(INDEX(RANGES!$C$7:$H$7,1,IF(AO65&lt;=INDIRECT("RANGES!C"&amp;7+AJ65),1,IF(AO65&lt;=INDIRECT("RANGES!D"&amp;7+AJ65),2,IF(AO65&lt;=INDIRECT("RANGES!E"&amp;7+AJ65),3,IF(AO65&lt;=INDIRECT("RANGES!F"&amp;7+AJ65),4,IF(AO65&lt;=INDIRECT("RANGES!G"&amp;7+AJ65),5,6)))))),"")</f>
        <v/>
      </c>
      <c r="AL65" s="17">
        <f t="shared" si="43"/>
        <v>0</v>
      </c>
      <c r="AM65" s="17" t="str">
        <f t="shared" si="44"/>
        <v/>
      </c>
      <c r="AN65" s="17" t="str">
        <f t="shared" si="28"/>
        <v/>
      </c>
      <c r="AO65" s="17" t="str">
        <f t="shared" si="29"/>
        <v/>
      </c>
      <c r="AP65" s="17" t="str">
        <f t="shared" si="45"/>
        <v/>
      </c>
      <c r="AQ65" s="17" t="str">
        <f t="shared" si="30"/>
        <v/>
      </c>
      <c r="AR65" s="17" t="str">
        <f t="shared" si="31"/>
        <v/>
      </c>
      <c r="AS65" s="17" t="str">
        <f t="shared" si="32"/>
        <v/>
      </c>
      <c r="AT65" s="7" t="str">
        <f t="shared" si="46"/>
        <v/>
      </c>
      <c r="AU65" s="10" t="str">
        <f t="shared" si="33"/>
        <v/>
      </c>
      <c r="AV65" s="7" t="str">
        <f t="shared" si="47"/>
        <v/>
      </c>
      <c r="AW65" s="21" t="str">
        <f t="shared" si="34"/>
        <v/>
      </c>
      <c r="AX65" s="21" t="str">
        <f t="shared" si="48"/>
        <v/>
      </c>
      <c r="AY65" s="7" t="str">
        <f t="shared" si="35"/>
        <v/>
      </c>
      <c r="AZ65" s="7" t="str">
        <f t="shared" si="36"/>
        <v/>
      </c>
    </row>
    <row r="66" spans="1:52" ht="13.2">
      <c r="A66" s="7" t="str">
        <f>HIDDEN!H65</f>
        <v/>
      </c>
      <c r="B66" s="7" t="str">
        <f>IFERROR(MATCH(A66,'3)PACIENTES'!$A$2:$A$97,0),"")</f>
        <v/>
      </c>
      <c r="C66" s="24" t="str">
        <f>IFERROR(INDEX('3)PACIENTES'!D$2:D$97,SAMPLES!$B66),"")</f>
        <v/>
      </c>
      <c r="D66" s="24" t="str">
        <f>IFERROR(INDEX('3)PACIENTES'!B$2:B$97,SAMPLES!$B66),"")</f>
        <v/>
      </c>
      <c r="E66" s="24" t="str">
        <f>IFERROR(INDEX('3)PACIENTES'!$C$2:$C158,SAMPLES!$B66),"")</f>
        <v/>
      </c>
      <c r="F66" s="22">
        <f>'3)PACIENTES'!$F$2</f>
        <v>44039</v>
      </c>
      <c r="G66" s="13" t="str">
        <f>IFERROR(INDEX('3)PACIENTES'!E$2:E$97,SAMPLES!$B66),"")</f>
        <v/>
      </c>
      <c r="H66" s="17" t="str">
        <f t="shared" si="0"/>
        <v/>
      </c>
      <c r="I66" s="17" t="str">
        <f t="shared" si="20"/>
        <v/>
      </c>
      <c r="J66" s="32" t="str">
        <f t="array" ref="J66">IFERROR(INDEX('1)qPCR'!$E$2:$E$97,MATCH(INDEX(HIDDEN!$C$1:$C$96,SMALL(IF(HIDDEN!$B$1:$B$96=$A66&amp;";"&amp;J$1,ROW(HIDDEN!$B$1:$B$96)-ROW(INDEX(HIDDEN!$B$1:$B$96,1,1))+1),J$2)),'1)qPCR'!$A$2:$A$97,0)),"")</f>
        <v/>
      </c>
      <c r="K66" s="32" t="str">
        <f t="array" ref="K66">IFERROR(INDEX('1)qPCR'!$E$2:$E$97,MATCH(INDEX(HIDDEN!$C$1:$C$96,SMALL(IF(HIDDEN!$B$1:$B$96=$A66&amp;";"&amp;K$1,ROW(HIDDEN!$B$1:$B$96)-ROW(INDEX(HIDDEN!$B$1:$B$96,1,1))+1),K$2)),'1)qPCR'!$A$2:$A$97,0)),"")</f>
        <v/>
      </c>
      <c r="L66" s="32" t="str">
        <f t="array" ref="L66">IFERROR(INDEX('1)qPCR'!$E$2:$E$97,MATCH(INDEX(HIDDEN!$C$1:$C$96,SMALL(IF(HIDDEN!$B$1:$B$96=$A66&amp;";"&amp;L$1,ROW(HIDDEN!$B$1:$B$96)-ROW(INDEX(HIDDEN!$B$1:$B$96,1,1))+1),L$2)),'1)qPCR'!$A$2:$A$97,0)),"")</f>
        <v/>
      </c>
      <c r="M66" s="32" t="str">
        <f t="array" ref="M66">IFERROR(INDEX('1)qPCR'!$E$2:$E$97,MATCH(INDEX(HIDDEN!$C$1:$C$96,SMALL(IF(HIDDEN!$B$1:$B$96=$A66&amp;";"&amp;M$1,ROW(HIDDEN!$B$1:$B$96)-ROW(INDEX(HIDDEN!$B$1:$B$96,1,1))+1),M$2)),'1)qPCR'!$A$2:$A$97,0)),"")</f>
        <v/>
      </c>
      <c r="N66" s="32" t="str">
        <f t="array" ref="N66">IFERROR(INDEX('1)qPCR'!$E$2:$E$97,MATCH(INDEX(HIDDEN!$C$1:$C$96,SMALL(IF(HIDDEN!$B$1:$B$96=$A66&amp;";"&amp;N$1,ROW(HIDDEN!$B$1:$B$96)-ROW(INDEX(HIDDEN!$B$1:$B$96,1,1))+1),N$2)),'1)qPCR'!$A$2:$A$97,0)),"")</f>
        <v/>
      </c>
      <c r="O66" s="32" t="str">
        <f t="array" ref="O66">IFERROR(INDEX('1)qPCR'!$E$2:$E$97,MATCH(INDEX(HIDDEN!$C$1:$C$96,SMALL(IF(HIDDEN!$B$1:$B$96=$A66&amp;";"&amp;O$1,ROW(HIDDEN!$B$1:$B$96)-ROW(INDEX(HIDDEN!$B$1:$B$96,1,1))+1),O$2)),'1)qPCR'!$A$2:$A$97,0)),"")</f>
        <v/>
      </c>
      <c r="P66" s="7" t="str">
        <f t="shared" si="41"/>
        <v/>
      </c>
      <c r="Q66" s="18" t="str">
        <f t="shared" si="56"/>
        <v/>
      </c>
      <c r="R66" s="7" t="str">
        <f t="shared" si="42"/>
        <v/>
      </c>
      <c r="S66" s="18" t="str">
        <f t="shared" si="57"/>
        <v/>
      </c>
      <c r="T66" s="10" t="str">
        <f t="shared" si="58"/>
        <v/>
      </c>
      <c r="U66" s="10" t="str">
        <f t="shared" si="22"/>
        <v/>
      </c>
      <c r="V66" s="17" t="str">
        <f t="shared" si="23"/>
        <v/>
      </c>
      <c r="W66" s="17" t="str">
        <f t="shared" si="24"/>
        <v/>
      </c>
      <c r="X66" s="17" t="str">
        <f t="shared" si="49"/>
        <v/>
      </c>
      <c r="Y66" s="17" t="str">
        <f t="shared" si="50"/>
        <v/>
      </c>
      <c r="Z66" s="17" t="str">
        <f t="shared" si="6"/>
        <v/>
      </c>
      <c r="AA66" s="17" t="str">
        <f t="shared" si="7"/>
        <v/>
      </c>
      <c r="AB66" s="17" t="str">
        <f t="shared" si="51"/>
        <v/>
      </c>
      <c r="AC66" s="17" t="str">
        <f t="shared" si="52"/>
        <v/>
      </c>
      <c r="AD66" s="17" t="str">
        <f t="shared" si="10"/>
        <v/>
      </c>
      <c r="AE66" s="17" t="str">
        <f t="shared" si="11"/>
        <v/>
      </c>
      <c r="AF66" s="17" t="str">
        <f t="shared" si="12"/>
        <v/>
      </c>
      <c r="AG66" s="17">
        <f t="shared" si="26"/>
        <v>0</v>
      </c>
      <c r="AH66" s="17">
        <f t="shared" si="13"/>
        <v>0</v>
      </c>
      <c r="AI66" s="17">
        <f t="shared" si="27"/>
        <v>0</v>
      </c>
      <c r="AJ66" s="17" t="str">
        <f>IF(AP66="","",IF(AP66&lt;=RANGES!$A$8,1,IF(AP66&lt;=RANGES!$A$9,2,IF(AP66&lt;=RANGES!$A$10,3,IF(AP66&lt;=RANGES!$A$11,4,IF(AP66&lt;=RANGES!$A$12,5,IF(AP66&lt;=RANGES!$A$13,6,IF(AP66&lt;=RANGES!$A$14,7,8))))))))</f>
        <v/>
      </c>
      <c r="AK66" s="17" t="str">
        <f ca="1">IFERROR(INDEX(RANGES!$C$7:$H$7,1,IF(AO66&lt;=INDIRECT("RANGES!C"&amp;7+AJ66),1,IF(AO66&lt;=INDIRECT("RANGES!D"&amp;7+AJ66),2,IF(AO66&lt;=INDIRECT("RANGES!E"&amp;7+AJ66),3,IF(AO66&lt;=INDIRECT("RANGES!F"&amp;7+AJ66),4,IF(AO66&lt;=INDIRECT("RANGES!G"&amp;7+AJ66),5,6)))))),"")</f>
        <v/>
      </c>
      <c r="AL66" s="17">
        <f t="shared" si="43"/>
        <v>0</v>
      </c>
      <c r="AM66" s="17" t="str">
        <f t="shared" si="44"/>
        <v/>
      </c>
      <c r="AN66" s="17" t="str">
        <f t="shared" si="28"/>
        <v/>
      </c>
      <c r="AO66" s="17" t="str">
        <f t="shared" si="29"/>
        <v/>
      </c>
      <c r="AP66" s="17" t="str">
        <f t="shared" si="45"/>
        <v/>
      </c>
      <c r="AQ66" s="17" t="str">
        <f t="shared" si="30"/>
        <v/>
      </c>
      <c r="AR66" s="17" t="str">
        <f t="shared" si="31"/>
        <v/>
      </c>
      <c r="AS66" s="17" t="str">
        <f t="shared" si="32"/>
        <v/>
      </c>
      <c r="AT66" s="7" t="str">
        <f t="shared" si="46"/>
        <v/>
      </c>
      <c r="AU66" s="10" t="str">
        <f t="shared" si="33"/>
        <v/>
      </c>
      <c r="AV66" s="7" t="str">
        <f t="shared" si="47"/>
        <v/>
      </c>
      <c r="AW66" s="21" t="str">
        <f t="shared" si="34"/>
        <v/>
      </c>
      <c r="AX66" s="21" t="str">
        <f t="shared" si="48"/>
        <v/>
      </c>
      <c r="AY66" s="7" t="str">
        <f t="shared" si="35"/>
        <v/>
      </c>
      <c r="AZ66" s="7" t="str">
        <f t="shared" si="36"/>
        <v/>
      </c>
    </row>
    <row r="67" spans="1:52" ht="13.2">
      <c r="A67" s="7" t="str">
        <f>HIDDEN!H66</f>
        <v/>
      </c>
      <c r="B67" s="7" t="str">
        <f>IFERROR(MATCH(A67,'3)PACIENTES'!$A$2:$A$97,0),"")</f>
        <v/>
      </c>
      <c r="C67" s="24" t="str">
        <f>IFERROR(INDEX('3)PACIENTES'!D$2:D$97,SAMPLES!$B67),"")</f>
        <v/>
      </c>
      <c r="D67" s="24" t="str">
        <f>IFERROR(INDEX('3)PACIENTES'!B$2:B$97,SAMPLES!$B67),"")</f>
        <v/>
      </c>
      <c r="E67" s="24" t="str">
        <f>IFERROR(INDEX('3)PACIENTES'!$C$2:$C159,SAMPLES!$B67),"")</f>
        <v/>
      </c>
      <c r="F67" s="22">
        <f>'3)PACIENTES'!$F$2</f>
        <v>44039</v>
      </c>
      <c r="G67" s="13" t="str">
        <f>IFERROR(INDEX('3)PACIENTES'!E$2:E$97,SAMPLES!$B67),"")</f>
        <v/>
      </c>
      <c r="H67" s="17" t="str">
        <f t="shared" ref="H67:H99" si="59">IFERROR(AVERAGE(J67:L67),"")</f>
        <v/>
      </c>
      <c r="I67" s="17" t="str">
        <f t="shared" ref="I67:I99" si="60">IFERROR(AVERAGE(M67:O67),"")</f>
        <v/>
      </c>
      <c r="J67" s="32" t="str">
        <f t="array" ref="J67">IFERROR(INDEX('1)qPCR'!$E$2:$E$97,MATCH(INDEX(HIDDEN!$C$1:$C$96,SMALL(IF(HIDDEN!$B$1:$B$96=$A67&amp;";"&amp;J$1,ROW(HIDDEN!$B$1:$B$96)-ROW(INDEX(HIDDEN!$B$1:$B$96,1,1))+1),J$2)),'1)qPCR'!$A$2:$A$97,0)),"")</f>
        <v/>
      </c>
      <c r="K67" s="32" t="str">
        <f t="array" ref="K67">IFERROR(INDEX('1)qPCR'!$E$2:$E$97,MATCH(INDEX(HIDDEN!$C$1:$C$96,SMALL(IF(HIDDEN!$B$1:$B$96=$A67&amp;";"&amp;K$1,ROW(HIDDEN!$B$1:$B$96)-ROW(INDEX(HIDDEN!$B$1:$B$96,1,1))+1),K$2)),'1)qPCR'!$A$2:$A$97,0)),"")</f>
        <v/>
      </c>
      <c r="L67" s="32" t="str">
        <f t="array" ref="L67">IFERROR(INDEX('1)qPCR'!$E$2:$E$97,MATCH(INDEX(HIDDEN!$C$1:$C$96,SMALL(IF(HIDDEN!$B$1:$B$96=$A67&amp;";"&amp;L$1,ROW(HIDDEN!$B$1:$B$96)-ROW(INDEX(HIDDEN!$B$1:$B$96,1,1))+1),L$2)),'1)qPCR'!$A$2:$A$97,0)),"")</f>
        <v/>
      </c>
      <c r="M67" s="32" t="str">
        <f t="array" ref="M67">IFERROR(INDEX('1)qPCR'!$E$2:$E$97,MATCH(INDEX(HIDDEN!$C$1:$C$96,SMALL(IF(HIDDEN!$B$1:$B$96=$A67&amp;";"&amp;M$1,ROW(HIDDEN!$B$1:$B$96)-ROW(INDEX(HIDDEN!$B$1:$B$96,1,1))+1),M$2)),'1)qPCR'!$A$2:$A$97,0)),"")</f>
        <v/>
      </c>
      <c r="N67" s="32" t="str">
        <f t="array" ref="N67">IFERROR(INDEX('1)qPCR'!$E$2:$E$97,MATCH(INDEX(HIDDEN!$C$1:$C$96,SMALL(IF(HIDDEN!$B$1:$B$96=$A67&amp;";"&amp;N$1,ROW(HIDDEN!$B$1:$B$96)-ROW(INDEX(HIDDEN!$B$1:$B$96,1,1))+1),N$2)),'1)qPCR'!$A$2:$A$97,0)),"")</f>
        <v/>
      </c>
      <c r="O67" s="32" t="str">
        <f t="array" ref="O67">IFERROR(INDEX('1)qPCR'!$E$2:$E$97,MATCH(INDEX(HIDDEN!$C$1:$C$96,SMALL(IF(HIDDEN!$B$1:$B$96=$A67&amp;";"&amp;O$1,ROW(HIDDEN!$B$1:$B$96)-ROW(INDEX(HIDDEN!$B$1:$B$96,1,1))+1),O$2)),'1)qPCR'!$A$2:$A$97,0)),"")</f>
        <v/>
      </c>
      <c r="P67" s="7" t="str">
        <f t="shared" ref="P67:P99" si="61">IFERROR(_xlfn.STDEV.P(J67:L67),"")</f>
        <v/>
      </c>
      <c r="Q67" s="18" t="str">
        <f t="shared" si="56"/>
        <v/>
      </c>
      <c r="R67" s="7" t="str">
        <f t="shared" ref="R67:R99" si="62">IFERROR(_xlfn.STDEV.P(M67:O67),"")</f>
        <v/>
      </c>
      <c r="S67" s="18" t="str">
        <f t="shared" si="57"/>
        <v/>
      </c>
      <c r="T67" s="10" t="str">
        <f t="shared" si="58"/>
        <v/>
      </c>
      <c r="U67" s="10" t="str">
        <f t="shared" si="22"/>
        <v/>
      </c>
      <c r="V67" s="17" t="str">
        <f t="shared" si="23"/>
        <v/>
      </c>
      <c r="W67" s="17" t="str">
        <f t="shared" si="24"/>
        <v/>
      </c>
      <c r="X67" s="17" t="str">
        <f t="shared" si="49"/>
        <v/>
      </c>
      <c r="Y67" s="17" t="str">
        <f t="shared" si="50"/>
        <v/>
      </c>
      <c r="Z67" s="17" t="str">
        <f t="shared" si="6"/>
        <v/>
      </c>
      <c r="AA67" s="17" t="str">
        <f t="shared" si="7"/>
        <v/>
      </c>
      <c r="AB67" s="17" t="str">
        <f t="shared" si="51"/>
        <v/>
      </c>
      <c r="AC67" s="17" t="str">
        <f t="shared" si="52"/>
        <v/>
      </c>
      <c r="AD67" s="17" t="str">
        <f t="shared" si="10"/>
        <v/>
      </c>
      <c r="AE67" s="17" t="str">
        <f t="shared" si="11"/>
        <v/>
      </c>
      <c r="AF67" s="17" t="str">
        <f t="shared" si="12"/>
        <v/>
      </c>
      <c r="AG67" s="17">
        <f t="shared" si="26"/>
        <v>0</v>
      </c>
      <c r="AH67" s="17">
        <f t="shared" si="13"/>
        <v>0</v>
      </c>
      <c r="AI67" s="17">
        <f t="shared" si="27"/>
        <v>0</v>
      </c>
      <c r="AJ67" s="17" t="str">
        <f>IF(AP67="","",IF(AP67&lt;=RANGES!$A$8,1,IF(AP67&lt;=RANGES!$A$9,2,IF(AP67&lt;=RANGES!$A$10,3,IF(AP67&lt;=RANGES!$A$11,4,IF(AP67&lt;=RANGES!$A$12,5,IF(AP67&lt;=RANGES!$A$13,6,IF(AP67&lt;=RANGES!$A$14,7,8))))))))</f>
        <v/>
      </c>
      <c r="AK67" s="17" t="str">
        <f ca="1">IFERROR(INDEX(RANGES!$C$7:$H$7,1,IF(AO67&lt;=INDIRECT("RANGES!C"&amp;7+AJ67),1,IF(AO67&lt;=INDIRECT("RANGES!D"&amp;7+AJ67),2,IF(AO67&lt;=INDIRECT("RANGES!E"&amp;7+AJ67),3,IF(AO67&lt;=INDIRECT("RANGES!F"&amp;7+AJ67),4,IF(AO67&lt;=INDIRECT("RANGES!G"&amp;7+AJ67),5,6)))))),"")</f>
        <v/>
      </c>
      <c r="AL67" s="17">
        <f t="shared" si="43"/>
        <v>0</v>
      </c>
      <c r="AM67" s="17" t="str">
        <f t="shared" si="44"/>
        <v/>
      </c>
      <c r="AN67" s="17" t="str">
        <f t="shared" si="28"/>
        <v/>
      </c>
      <c r="AO67" s="17" t="str">
        <f t="shared" si="29"/>
        <v/>
      </c>
      <c r="AP67" s="17" t="str">
        <f t="shared" si="45"/>
        <v/>
      </c>
      <c r="AQ67" s="17" t="str">
        <f t="shared" si="30"/>
        <v/>
      </c>
      <c r="AR67" s="17" t="str">
        <f t="shared" si="31"/>
        <v/>
      </c>
      <c r="AS67" s="17" t="str">
        <f t="shared" si="32"/>
        <v/>
      </c>
      <c r="AT67" s="7" t="str">
        <f t="shared" si="46"/>
        <v/>
      </c>
      <c r="AU67" s="10" t="str">
        <f t="shared" si="33"/>
        <v/>
      </c>
      <c r="AV67" s="7" t="str">
        <f t="shared" si="47"/>
        <v/>
      </c>
      <c r="AW67" s="21" t="str">
        <f t="shared" si="34"/>
        <v/>
      </c>
      <c r="AX67" s="21" t="str">
        <f t="shared" si="48"/>
        <v/>
      </c>
      <c r="AY67" s="7" t="str">
        <f t="shared" si="35"/>
        <v/>
      </c>
      <c r="AZ67" s="7" t="str">
        <f t="shared" si="36"/>
        <v/>
      </c>
    </row>
    <row r="68" spans="1:52" ht="13.2">
      <c r="A68" s="7" t="str">
        <f>HIDDEN!H67</f>
        <v/>
      </c>
      <c r="B68" s="7" t="str">
        <f>IFERROR(MATCH(A68,'3)PACIENTES'!$A$2:$A$97,0),"")</f>
        <v/>
      </c>
      <c r="C68" s="24" t="str">
        <f>IFERROR(INDEX('3)PACIENTES'!D$2:D$97,SAMPLES!$B68),"")</f>
        <v/>
      </c>
      <c r="D68" s="24" t="str">
        <f>IFERROR(INDEX('3)PACIENTES'!B$2:B$97,SAMPLES!$B68),"")</f>
        <v/>
      </c>
      <c r="E68" s="24" t="str">
        <f>IFERROR(INDEX('3)PACIENTES'!$C$2:$C160,SAMPLES!$B68),"")</f>
        <v/>
      </c>
      <c r="F68" s="22">
        <f>'3)PACIENTES'!$F$2</f>
        <v>44039</v>
      </c>
      <c r="G68" s="13" t="str">
        <f>IFERROR(INDEX('3)PACIENTES'!E$2:E$97,SAMPLES!$B68),"")</f>
        <v/>
      </c>
      <c r="H68" s="17" t="str">
        <f t="shared" si="59"/>
        <v/>
      </c>
      <c r="I68" s="17" t="str">
        <f t="shared" si="60"/>
        <v/>
      </c>
      <c r="J68" s="32" t="str">
        <f t="array" ref="J68">IFERROR(INDEX('1)qPCR'!$E$2:$E$97,MATCH(INDEX(HIDDEN!$C$1:$C$96,SMALL(IF(HIDDEN!$B$1:$B$96=$A68&amp;";"&amp;J$1,ROW(HIDDEN!$B$1:$B$96)-ROW(INDEX(HIDDEN!$B$1:$B$96,1,1))+1),J$2)),'1)qPCR'!$A$2:$A$97,0)),"")</f>
        <v/>
      </c>
      <c r="K68" s="32" t="str">
        <f t="array" ref="K68">IFERROR(INDEX('1)qPCR'!$E$2:$E$97,MATCH(INDEX(HIDDEN!$C$1:$C$96,SMALL(IF(HIDDEN!$B$1:$B$96=$A68&amp;";"&amp;K$1,ROW(HIDDEN!$B$1:$B$96)-ROW(INDEX(HIDDEN!$B$1:$B$96,1,1))+1),K$2)),'1)qPCR'!$A$2:$A$97,0)),"")</f>
        <v/>
      </c>
      <c r="L68" s="32" t="str">
        <f t="array" ref="L68">IFERROR(INDEX('1)qPCR'!$E$2:$E$97,MATCH(INDEX(HIDDEN!$C$1:$C$96,SMALL(IF(HIDDEN!$B$1:$B$96=$A68&amp;";"&amp;L$1,ROW(HIDDEN!$B$1:$B$96)-ROW(INDEX(HIDDEN!$B$1:$B$96,1,1))+1),L$2)),'1)qPCR'!$A$2:$A$97,0)),"")</f>
        <v/>
      </c>
      <c r="M68" s="32" t="str">
        <f t="array" ref="M68">IFERROR(INDEX('1)qPCR'!$E$2:$E$97,MATCH(INDEX(HIDDEN!$C$1:$C$96,SMALL(IF(HIDDEN!$B$1:$B$96=$A68&amp;";"&amp;M$1,ROW(HIDDEN!$B$1:$B$96)-ROW(INDEX(HIDDEN!$B$1:$B$96,1,1))+1),M$2)),'1)qPCR'!$A$2:$A$97,0)),"")</f>
        <v/>
      </c>
      <c r="N68" s="32" t="str">
        <f t="array" ref="N68">IFERROR(INDEX('1)qPCR'!$E$2:$E$97,MATCH(INDEX(HIDDEN!$C$1:$C$96,SMALL(IF(HIDDEN!$B$1:$B$96=$A68&amp;";"&amp;N$1,ROW(HIDDEN!$B$1:$B$96)-ROW(INDEX(HIDDEN!$B$1:$B$96,1,1))+1),N$2)),'1)qPCR'!$A$2:$A$97,0)),"")</f>
        <v/>
      </c>
      <c r="O68" s="32" t="str">
        <f t="array" ref="O68">IFERROR(INDEX('1)qPCR'!$E$2:$E$97,MATCH(INDEX(HIDDEN!$C$1:$C$96,SMALL(IF(HIDDEN!$B$1:$B$96=$A68&amp;";"&amp;O$1,ROW(HIDDEN!$B$1:$B$96)-ROW(INDEX(HIDDEN!$B$1:$B$96,1,1))+1),O$2)),'1)qPCR'!$A$2:$A$97,0)),"")</f>
        <v/>
      </c>
      <c r="P68" s="7" t="str">
        <f t="shared" si="61"/>
        <v/>
      </c>
      <c r="Q68" s="18" t="str">
        <f t="shared" si="56"/>
        <v/>
      </c>
      <c r="R68" s="7" t="str">
        <f t="shared" si="62"/>
        <v/>
      </c>
      <c r="S68" s="18" t="str">
        <f t="shared" si="57"/>
        <v/>
      </c>
      <c r="T68" s="10" t="str">
        <f t="shared" si="58"/>
        <v/>
      </c>
      <c r="U68" s="10" t="str">
        <f t="shared" ref="U68:U99" si="63">IFERROR(I68-$I$3,"")</f>
        <v/>
      </c>
      <c r="V68" s="17" t="str">
        <f t="shared" ref="V68:V99" si="64">IFERROR(T68-U68,"")</f>
        <v/>
      </c>
      <c r="W68" s="17" t="str">
        <f t="shared" si="24"/>
        <v/>
      </c>
      <c r="X68" s="17" t="str">
        <f t="shared" si="49"/>
        <v/>
      </c>
      <c r="Y68" s="17" t="str">
        <f t="shared" si="50"/>
        <v/>
      </c>
      <c r="Z68" s="17" t="str">
        <f t="shared" ref="Z68:Z99" si="65">IFERROR(X68/92,"")</f>
        <v/>
      </c>
      <c r="AA68" s="17" t="str">
        <f t="shared" ref="AA68:AA99" si="66">IFERROR(Y68/92,"")</f>
        <v/>
      </c>
      <c r="AB68" s="17" t="str">
        <f t="shared" si="51"/>
        <v/>
      </c>
      <c r="AC68" s="17" t="str">
        <f t="shared" si="52"/>
        <v/>
      </c>
      <c r="AD68" s="17" t="str">
        <f t="shared" ref="AD68:AD99" si="67">IFERROR((SQRT(5715209-440000*Z68)+117)/22,"")</f>
        <v/>
      </c>
      <c r="AE68" s="17" t="str">
        <f t="shared" ref="AE68:AE99" si="68">IFERROR(-2*SQRT(1250*Z68+3989)+281,"")</f>
        <v/>
      </c>
      <c r="AF68" s="17" t="str">
        <f t="shared" ref="AF68:AF99" si="69">IFERROR((SQRT(1125529-60000*Z68)-257)/6,"")</f>
        <v/>
      </c>
      <c r="AG68" s="17">
        <f t="shared" ref="AG68:AG99" si="70">MIN(AD68:AF68)</f>
        <v>0</v>
      </c>
      <c r="AH68" s="17">
        <f t="shared" ref="AH68:AH99" si="71">MAX(AD68:AF68)</f>
        <v>0</v>
      </c>
      <c r="AI68" s="17">
        <f t="shared" ref="AI68:AI99" si="72">AVERAGE(AG68:AH68)</f>
        <v>0</v>
      </c>
      <c r="AJ68" s="17" t="str">
        <f>IF(AP68="","",IF(AP68&lt;=RANGES!$A$8,1,IF(AP68&lt;=RANGES!$A$9,2,IF(AP68&lt;=RANGES!$A$10,3,IF(AP68&lt;=RANGES!$A$11,4,IF(AP68&lt;=RANGES!$A$12,5,IF(AP68&lt;=RANGES!$A$13,6,IF(AP68&lt;=RANGES!$A$14,7,8))))))))</f>
        <v/>
      </c>
      <c r="AK68" s="17" t="str">
        <f ca="1">IFERROR(INDEX(RANGES!$C$7:$H$7,1,IF(AO68&lt;=INDIRECT("RANGES!C"&amp;7+AJ68),1,IF(AO68&lt;=INDIRECT("RANGES!D"&amp;7+AJ68),2,IF(AO68&lt;=INDIRECT("RANGES!E"&amp;7+AJ68),3,IF(AO68&lt;=INDIRECT("RANGES!F"&amp;7+AJ68),4,IF(AO68&lt;=INDIRECT("RANGES!G"&amp;7+AJ68),5,6)))))),"")</f>
        <v/>
      </c>
      <c r="AL68" s="17">
        <f t="shared" ref="AL68:AL99" si="73">IFERROR(AH68-AI68,"")</f>
        <v>0</v>
      </c>
      <c r="AM68" s="17" t="str">
        <f t="shared" ref="AM68:AM99" si="74">IFERROR(_xlfn.DAYS(F68,G68),"")</f>
        <v/>
      </c>
      <c r="AN68" s="17" t="str">
        <f t="shared" si="28"/>
        <v/>
      </c>
      <c r="AO68" s="17" t="str">
        <f t="shared" si="29"/>
        <v/>
      </c>
      <c r="AP68" s="17" t="str">
        <f t="shared" ref="AP68:AP99" si="75">IFERROR(YEARFRAC(G68,F68),"")</f>
        <v/>
      </c>
      <c r="AQ68" s="17" t="str">
        <f t="shared" si="30"/>
        <v/>
      </c>
      <c r="AR68" s="17" t="str">
        <f t="shared" si="31"/>
        <v/>
      </c>
      <c r="AS68" s="17" t="str">
        <f t="shared" si="32"/>
        <v/>
      </c>
      <c r="AT68" s="7" t="str">
        <f t="shared" ref="AT68:AT99" si="76">IFERROR((Z68-AQ68)^2,"")</f>
        <v/>
      </c>
      <c r="AU68" s="10" t="str">
        <f t="shared" si="33"/>
        <v/>
      </c>
      <c r="AV68" s="7" t="str">
        <f t="shared" ref="AV68:AV99" si="77">IFERROR(MEDIAN(AB68:AC68),"")</f>
        <v/>
      </c>
      <c r="AW68" s="21" t="str">
        <f t="shared" si="34"/>
        <v/>
      </c>
      <c r="AX68" s="21" t="str">
        <f t="shared" ref="AX68:AX99" si="78">IFERROR(AC68-AW68,"")</f>
        <v/>
      </c>
      <c r="AY68" s="7" t="str">
        <f t="shared" si="35"/>
        <v/>
      </c>
      <c r="AZ68" s="7" t="str">
        <f t="shared" si="36"/>
        <v/>
      </c>
    </row>
    <row r="69" spans="1:52" ht="13.2">
      <c r="A69" s="7" t="str">
        <f>HIDDEN!H68</f>
        <v/>
      </c>
      <c r="B69" s="7" t="str">
        <f>IFERROR(MATCH(A69,'3)PACIENTES'!$A$2:$A$97,0),"")</f>
        <v/>
      </c>
      <c r="C69" s="24" t="str">
        <f>IFERROR(INDEX('3)PACIENTES'!D$2:D$97,SAMPLES!$B69),"")</f>
        <v/>
      </c>
      <c r="D69" s="24" t="str">
        <f>IFERROR(INDEX('3)PACIENTES'!B$2:B$97,SAMPLES!$B69),"")</f>
        <v/>
      </c>
      <c r="E69" s="24" t="str">
        <f>IFERROR(INDEX('3)PACIENTES'!$C$2:$C161,SAMPLES!$B69),"")</f>
        <v/>
      </c>
      <c r="F69" s="22">
        <f>'3)PACIENTES'!$F$2</f>
        <v>44039</v>
      </c>
      <c r="G69" s="13" t="str">
        <f>IFERROR(INDEX('3)PACIENTES'!E$2:E$97,SAMPLES!$B69),"")</f>
        <v/>
      </c>
      <c r="H69" s="17" t="str">
        <f t="shared" si="59"/>
        <v/>
      </c>
      <c r="I69" s="17" t="str">
        <f t="shared" si="60"/>
        <v/>
      </c>
      <c r="J69" s="32" t="str">
        <f t="array" ref="J69">IFERROR(INDEX('1)qPCR'!$E$2:$E$97,MATCH(INDEX(HIDDEN!$C$1:$C$96,SMALL(IF(HIDDEN!$B$1:$B$96=$A69&amp;";"&amp;J$1,ROW(HIDDEN!$B$1:$B$96)-ROW(INDEX(HIDDEN!$B$1:$B$96,1,1))+1),J$2)),'1)qPCR'!$A$2:$A$97,0)),"")</f>
        <v/>
      </c>
      <c r="K69" s="32" t="str">
        <f t="array" ref="K69">IFERROR(INDEX('1)qPCR'!$E$2:$E$97,MATCH(INDEX(HIDDEN!$C$1:$C$96,SMALL(IF(HIDDEN!$B$1:$B$96=$A69&amp;";"&amp;K$1,ROW(HIDDEN!$B$1:$B$96)-ROW(INDEX(HIDDEN!$B$1:$B$96,1,1))+1),K$2)),'1)qPCR'!$A$2:$A$97,0)),"")</f>
        <v/>
      </c>
      <c r="L69" s="32" t="str">
        <f t="array" ref="L69">IFERROR(INDEX('1)qPCR'!$E$2:$E$97,MATCH(INDEX(HIDDEN!$C$1:$C$96,SMALL(IF(HIDDEN!$B$1:$B$96=$A69&amp;";"&amp;L$1,ROW(HIDDEN!$B$1:$B$96)-ROW(INDEX(HIDDEN!$B$1:$B$96,1,1))+1),L$2)),'1)qPCR'!$A$2:$A$97,0)),"")</f>
        <v/>
      </c>
      <c r="M69" s="32" t="str">
        <f t="array" ref="M69">IFERROR(INDEX('1)qPCR'!$E$2:$E$97,MATCH(INDEX(HIDDEN!$C$1:$C$96,SMALL(IF(HIDDEN!$B$1:$B$96=$A69&amp;";"&amp;M$1,ROW(HIDDEN!$B$1:$B$96)-ROW(INDEX(HIDDEN!$B$1:$B$96,1,1))+1),M$2)),'1)qPCR'!$A$2:$A$97,0)),"")</f>
        <v/>
      </c>
      <c r="N69" s="32" t="str">
        <f t="array" ref="N69">IFERROR(INDEX('1)qPCR'!$E$2:$E$97,MATCH(INDEX(HIDDEN!$C$1:$C$96,SMALL(IF(HIDDEN!$B$1:$B$96=$A69&amp;";"&amp;N$1,ROW(HIDDEN!$B$1:$B$96)-ROW(INDEX(HIDDEN!$B$1:$B$96,1,1))+1),N$2)),'1)qPCR'!$A$2:$A$97,0)),"")</f>
        <v/>
      </c>
      <c r="O69" s="32" t="str">
        <f t="array" ref="O69">IFERROR(INDEX('1)qPCR'!$E$2:$E$97,MATCH(INDEX(HIDDEN!$C$1:$C$96,SMALL(IF(HIDDEN!$B$1:$B$96=$A69&amp;";"&amp;O$1,ROW(HIDDEN!$B$1:$B$96)-ROW(INDEX(HIDDEN!$B$1:$B$96,1,1))+1),O$2)),'1)qPCR'!$A$2:$A$97,0)),"")</f>
        <v/>
      </c>
      <c r="P69" s="7" t="str">
        <f t="shared" si="61"/>
        <v/>
      </c>
      <c r="Q69" s="18" t="str">
        <f t="shared" si="56"/>
        <v/>
      </c>
      <c r="R69" s="7" t="str">
        <f t="shared" si="62"/>
        <v/>
      </c>
      <c r="S69" s="18" t="str">
        <f t="shared" si="57"/>
        <v/>
      </c>
      <c r="T69" s="10" t="str">
        <f t="shared" si="58"/>
        <v/>
      </c>
      <c r="U69" s="10" t="str">
        <f t="shared" si="63"/>
        <v/>
      </c>
      <c r="V69" s="17" t="str">
        <f t="shared" si="64"/>
        <v/>
      </c>
      <c r="W69" s="17" t="str">
        <f t="shared" ref="W69:W99" si="79">IFERROR(2^(-V69),"")</f>
        <v/>
      </c>
      <c r="X69" s="17" t="str">
        <f t="shared" si="49"/>
        <v/>
      </c>
      <c r="Y69" s="17" t="str">
        <f t="shared" si="50"/>
        <v/>
      </c>
      <c r="Z69" s="17" t="str">
        <f t="shared" si="65"/>
        <v/>
      </c>
      <c r="AA69" s="17" t="str">
        <f t="shared" si="66"/>
        <v/>
      </c>
      <c r="AB69" s="17" t="str">
        <f t="shared" si="51"/>
        <v/>
      </c>
      <c r="AC69" s="17" t="str">
        <f t="shared" si="52"/>
        <v/>
      </c>
      <c r="AD69" s="17" t="str">
        <f t="shared" si="67"/>
        <v/>
      </c>
      <c r="AE69" s="17" t="str">
        <f t="shared" si="68"/>
        <v/>
      </c>
      <c r="AF69" s="17" t="str">
        <f t="shared" si="69"/>
        <v/>
      </c>
      <c r="AG69" s="17">
        <f t="shared" si="70"/>
        <v>0</v>
      </c>
      <c r="AH69" s="17">
        <f t="shared" si="71"/>
        <v>0</v>
      </c>
      <c r="AI69" s="17">
        <f t="shared" si="72"/>
        <v>0</v>
      </c>
      <c r="AJ69" s="17" t="str">
        <f>IF(AP69="","",IF(AP69&lt;=RANGES!$A$8,1,IF(AP69&lt;=RANGES!$A$9,2,IF(AP69&lt;=RANGES!$A$10,3,IF(AP69&lt;=RANGES!$A$11,4,IF(AP69&lt;=RANGES!$A$12,5,IF(AP69&lt;=RANGES!$A$13,6,IF(AP69&lt;=RANGES!$A$14,7,8))))))))</f>
        <v/>
      </c>
      <c r="AK69" s="17" t="str">
        <f ca="1">IFERROR(INDEX(RANGES!$C$7:$H$7,1,IF(AO69&lt;=INDIRECT("RANGES!C"&amp;7+AJ69),1,IF(AO69&lt;=INDIRECT("RANGES!D"&amp;7+AJ69),2,IF(AO69&lt;=INDIRECT("RANGES!E"&amp;7+AJ69),3,IF(AO69&lt;=INDIRECT("RANGES!F"&amp;7+AJ69),4,IF(AO69&lt;=INDIRECT("RANGES!G"&amp;7+AJ69),5,6)))))),"")</f>
        <v/>
      </c>
      <c r="AL69" s="17">
        <f t="shared" si="73"/>
        <v>0</v>
      </c>
      <c r="AM69" s="17" t="str">
        <f t="shared" si="74"/>
        <v/>
      </c>
      <c r="AN69" s="17" t="str">
        <f t="shared" ref="AN69:AN99" si="80">IFERROR(AP69+IF(AU69&gt;$AU$2,-1,1)*AU69,"")</f>
        <v/>
      </c>
      <c r="AO69" s="17" t="str">
        <f t="shared" ref="AO69:AO99" si="81">IFERROR(-0.0011*AN69^2+0.0117*AN69+12.958,"")</f>
        <v/>
      </c>
      <c r="AP69" s="17" t="str">
        <f t="shared" si="75"/>
        <v/>
      </c>
      <c r="AQ69" s="17" t="str">
        <f t="shared" ref="AQ69:AQ99" si="82">IFERROR(-0.0011*AP69^2+0.0117*AP69+12.958,"")</f>
        <v/>
      </c>
      <c r="AR69" s="17" t="str">
        <f t="shared" ref="AR69:AR99" si="83">IFERROR(-2*10^(-5)*AP69^3+0.0024*AP69^2-0.1793*AP69+19.19,"")</f>
        <v/>
      </c>
      <c r="AS69" s="17" t="str">
        <f t="shared" ref="AS69:AS99" si="84">IFERROR(-4*10^(-6)*AP69^3+0.0009*AP69^2-0.1406*AP69+12.939,"")</f>
        <v/>
      </c>
      <c r="AT69" s="7" t="str">
        <f t="shared" si="76"/>
        <v/>
      </c>
      <c r="AU69" s="10" t="str">
        <f t="shared" ref="AU69:AU99" si="85">IFERROR(AT69^(1/2),"")</f>
        <v/>
      </c>
      <c r="AV69" s="7" t="str">
        <f t="shared" si="77"/>
        <v/>
      </c>
      <c r="AW69" s="21" t="str">
        <f t="shared" ref="AW69:AW99" si="86">IFERROR(AV69,"")</f>
        <v/>
      </c>
      <c r="AX69" s="21" t="str">
        <f t="shared" si="78"/>
        <v/>
      </c>
      <c r="AY69" s="7" t="str">
        <f t="shared" ref="AY69:AY99" si="87">IFERROR(IF(AW69&gt;9.1,(AW69-9.1)*(16.5-2.5)/(12.5-9.1)+2.5,AW69/9.1),"")</f>
        <v/>
      </c>
      <c r="AZ69" s="7" t="str">
        <f t="shared" ref="AZ69:AZ99" si="88">IFERROR(IF(AO69&gt;9.1,(AO69-9.1)*(16.5-2.5)/(12.5-9.1)+2.5,AO69/9.1),"")</f>
        <v/>
      </c>
    </row>
    <row r="70" spans="1:52" ht="13.2">
      <c r="A70" s="7" t="str">
        <f>HIDDEN!H69</f>
        <v/>
      </c>
      <c r="B70" s="7" t="str">
        <f>IFERROR(MATCH(A70,'3)PACIENTES'!$A$2:$A$97,0),"")</f>
        <v/>
      </c>
      <c r="C70" s="24" t="str">
        <f>IFERROR(INDEX('3)PACIENTES'!D$2:D$97,SAMPLES!$B70),"")</f>
        <v/>
      </c>
      <c r="D70" s="24" t="str">
        <f>IFERROR(INDEX('3)PACIENTES'!B$2:B$97,SAMPLES!$B70),"")</f>
        <v/>
      </c>
      <c r="E70" s="24" t="str">
        <f>IFERROR(INDEX('3)PACIENTES'!$C$2:$C162,SAMPLES!$B70),"")</f>
        <v/>
      </c>
      <c r="F70" s="22">
        <f>'3)PACIENTES'!$F$2</f>
        <v>44039</v>
      </c>
      <c r="G70" s="13" t="str">
        <f>IFERROR(INDEX('3)PACIENTES'!E$2:E$97,SAMPLES!$B70),"")</f>
        <v/>
      </c>
      <c r="H70" s="17" t="str">
        <f t="shared" si="59"/>
        <v/>
      </c>
      <c r="I70" s="17" t="str">
        <f t="shared" si="60"/>
        <v/>
      </c>
      <c r="J70" s="32" t="str">
        <f t="array" ref="J70">IFERROR(INDEX('1)qPCR'!$E$2:$E$97,MATCH(INDEX(HIDDEN!$C$1:$C$96,SMALL(IF(HIDDEN!$B$1:$B$96=$A70&amp;";"&amp;J$1,ROW(HIDDEN!$B$1:$B$96)-ROW(INDEX(HIDDEN!$B$1:$B$96,1,1))+1),J$2)),'1)qPCR'!$A$2:$A$97,0)),"")</f>
        <v/>
      </c>
      <c r="K70" s="32" t="str">
        <f t="array" ref="K70">IFERROR(INDEX('1)qPCR'!$E$2:$E$97,MATCH(INDEX(HIDDEN!$C$1:$C$96,SMALL(IF(HIDDEN!$B$1:$B$96=$A70&amp;";"&amp;K$1,ROW(HIDDEN!$B$1:$B$96)-ROW(INDEX(HIDDEN!$B$1:$B$96,1,1))+1),K$2)),'1)qPCR'!$A$2:$A$97,0)),"")</f>
        <v/>
      </c>
      <c r="L70" s="32" t="str">
        <f t="array" ref="L70">IFERROR(INDEX('1)qPCR'!$E$2:$E$97,MATCH(INDEX(HIDDEN!$C$1:$C$96,SMALL(IF(HIDDEN!$B$1:$B$96=$A70&amp;";"&amp;L$1,ROW(HIDDEN!$B$1:$B$96)-ROW(INDEX(HIDDEN!$B$1:$B$96,1,1))+1),L$2)),'1)qPCR'!$A$2:$A$97,0)),"")</f>
        <v/>
      </c>
      <c r="M70" s="32" t="str">
        <f t="array" ref="M70">IFERROR(INDEX('1)qPCR'!$E$2:$E$97,MATCH(INDEX(HIDDEN!$C$1:$C$96,SMALL(IF(HIDDEN!$B$1:$B$96=$A70&amp;";"&amp;M$1,ROW(HIDDEN!$B$1:$B$96)-ROW(INDEX(HIDDEN!$B$1:$B$96,1,1))+1),M$2)),'1)qPCR'!$A$2:$A$97,0)),"")</f>
        <v/>
      </c>
      <c r="N70" s="32" t="str">
        <f t="array" ref="N70">IFERROR(INDEX('1)qPCR'!$E$2:$E$97,MATCH(INDEX(HIDDEN!$C$1:$C$96,SMALL(IF(HIDDEN!$B$1:$B$96=$A70&amp;";"&amp;N$1,ROW(HIDDEN!$B$1:$B$96)-ROW(INDEX(HIDDEN!$B$1:$B$96,1,1))+1),N$2)),'1)qPCR'!$A$2:$A$97,0)),"")</f>
        <v/>
      </c>
      <c r="O70" s="32" t="str">
        <f t="array" ref="O70">IFERROR(INDEX('1)qPCR'!$E$2:$E$97,MATCH(INDEX(HIDDEN!$C$1:$C$96,SMALL(IF(HIDDEN!$B$1:$B$96=$A70&amp;";"&amp;O$1,ROW(HIDDEN!$B$1:$B$96)-ROW(INDEX(HIDDEN!$B$1:$B$96,1,1))+1),O$2)),'1)qPCR'!$A$2:$A$97,0)),"")</f>
        <v/>
      </c>
      <c r="P70" s="7" t="str">
        <f t="shared" si="61"/>
        <v/>
      </c>
      <c r="Q70" s="18" t="str">
        <f t="shared" si="56"/>
        <v/>
      </c>
      <c r="R70" s="7" t="str">
        <f t="shared" si="62"/>
        <v/>
      </c>
      <c r="S70" s="18" t="str">
        <f t="shared" si="57"/>
        <v/>
      </c>
      <c r="T70" s="10" t="str">
        <f t="shared" si="58"/>
        <v/>
      </c>
      <c r="U70" s="10" t="str">
        <f t="shared" si="63"/>
        <v/>
      </c>
      <c r="V70" s="17" t="str">
        <f t="shared" si="64"/>
        <v/>
      </c>
      <c r="W70" s="17" t="str">
        <f t="shared" si="79"/>
        <v/>
      </c>
      <c r="X70" s="17" t="str">
        <f t="shared" si="49"/>
        <v/>
      </c>
      <c r="Y70" s="17" t="str">
        <f t="shared" si="50"/>
        <v/>
      </c>
      <c r="Z70" s="17" t="str">
        <f t="shared" si="65"/>
        <v/>
      </c>
      <c r="AA70" s="17" t="str">
        <f t="shared" si="66"/>
        <v/>
      </c>
      <c r="AB70" s="17" t="str">
        <f t="shared" si="51"/>
        <v/>
      </c>
      <c r="AC70" s="17" t="str">
        <f t="shared" si="52"/>
        <v/>
      </c>
      <c r="AD70" s="17" t="str">
        <f t="shared" si="67"/>
        <v/>
      </c>
      <c r="AE70" s="17" t="str">
        <f t="shared" si="68"/>
        <v/>
      </c>
      <c r="AF70" s="17" t="str">
        <f t="shared" si="69"/>
        <v/>
      </c>
      <c r="AG70" s="17">
        <f t="shared" si="70"/>
        <v>0</v>
      </c>
      <c r="AH70" s="17">
        <f t="shared" si="71"/>
        <v>0</v>
      </c>
      <c r="AI70" s="17">
        <f t="shared" si="72"/>
        <v>0</v>
      </c>
      <c r="AJ70" s="17" t="str">
        <f>IF(AP70="","",IF(AP70&lt;=RANGES!$A$8,1,IF(AP70&lt;=RANGES!$A$9,2,IF(AP70&lt;=RANGES!$A$10,3,IF(AP70&lt;=RANGES!$A$11,4,IF(AP70&lt;=RANGES!$A$12,5,IF(AP70&lt;=RANGES!$A$13,6,IF(AP70&lt;=RANGES!$A$14,7,8))))))))</f>
        <v/>
      </c>
      <c r="AK70" s="17" t="str">
        <f ca="1">IFERROR(INDEX(RANGES!$C$7:$H$7,1,IF(AO70&lt;=INDIRECT("RANGES!C"&amp;7+AJ70),1,IF(AO70&lt;=INDIRECT("RANGES!D"&amp;7+AJ70),2,IF(AO70&lt;=INDIRECT("RANGES!E"&amp;7+AJ70),3,IF(AO70&lt;=INDIRECT("RANGES!F"&amp;7+AJ70),4,IF(AO70&lt;=INDIRECT("RANGES!G"&amp;7+AJ70),5,6)))))),"")</f>
        <v/>
      </c>
      <c r="AL70" s="17">
        <f t="shared" si="73"/>
        <v>0</v>
      </c>
      <c r="AM70" s="17" t="str">
        <f t="shared" si="74"/>
        <v/>
      </c>
      <c r="AN70" s="17" t="str">
        <f t="shared" si="80"/>
        <v/>
      </c>
      <c r="AO70" s="17" t="str">
        <f t="shared" si="81"/>
        <v/>
      </c>
      <c r="AP70" s="17" t="str">
        <f t="shared" si="75"/>
        <v/>
      </c>
      <c r="AQ70" s="17" t="str">
        <f t="shared" si="82"/>
        <v/>
      </c>
      <c r="AR70" s="17" t="str">
        <f t="shared" si="83"/>
        <v/>
      </c>
      <c r="AS70" s="17" t="str">
        <f t="shared" si="84"/>
        <v/>
      </c>
      <c r="AT70" s="7" t="str">
        <f t="shared" si="76"/>
        <v/>
      </c>
      <c r="AU70" s="10" t="str">
        <f t="shared" si="85"/>
        <v/>
      </c>
      <c r="AV70" s="7" t="str">
        <f t="shared" si="77"/>
        <v/>
      </c>
      <c r="AW70" s="21" t="str">
        <f t="shared" si="86"/>
        <v/>
      </c>
      <c r="AX70" s="21" t="str">
        <f t="shared" si="78"/>
        <v/>
      </c>
      <c r="AY70" s="7" t="str">
        <f t="shared" si="87"/>
        <v/>
      </c>
      <c r="AZ70" s="7" t="str">
        <f t="shared" si="88"/>
        <v/>
      </c>
    </row>
    <row r="71" spans="1:52" ht="13.2">
      <c r="A71" s="7" t="str">
        <f>HIDDEN!H70</f>
        <v/>
      </c>
      <c r="B71" s="7" t="str">
        <f>IFERROR(MATCH(A71,'3)PACIENTES'!$A$2:$A$97,0),"")</f>
        <v/>
      </c>
      <c r="C71" s="24" t="str">
        <f>IFERROR(INDEX('3)PACIENTES'!D$2:D$97,SAMPLES!$B71),"")</f>
        <v/>
      </c>
      <c r="D71" s="24" t="str">
        <f>IFERROR(INDEX('3)PACIENTES'!B$2:B$97,SAMPLES!$B71),"")</f>
        <v/>
      </c>
      <c r="E71" s="24" t="str">
        <f>IFERROR(INDEX('3)PACIENTES'!$C$2:$C163,SAMPLES!$B71),"")</f>
        <v/>
      </c>
      <c r="F71" s="22">
        <f>'3)PACIENTES'!$F$2</f>
        <v>44039</v>
      </c>
      <c r="G71" s="13" t="str">
        <f>IFERROR(INDEX('3)PACIENTES'!E$2:E$97,SAMPLES!$B71),"")</f>
        <v/>
      </c>
      <c r="H71" s="17" t="str">
        <f t="shared" si="59"/>
        <v/>
      </c>
      <c r="I71" s="17" t="str">
        <f t="shared" si="60"/>
        <v/>
      </c>
      <c r="J71" s="32" t="str">
        <f t="array" ref="J71">IFERROR(INDEX('1)qPCR'!$E$2:$E$97,MATCH(INDEX(HIDDEN!$C$1:$C$96,SMALL(IF(HIDDEN!$B$1:$B$96=$A71&amp;";"&amp;J$1,ROW(HIDDEN!$B$1:$B$96)-ROW(INDEX(HIDDEN!$B$1:$B$96,1,1))+1),J$2)),'1)qPCR'!$A$2:$A$97,0)),"")</f>
        <v/>
      </c>
      <c r="K71" s="32" t="str">
        <f t="array" ref="K71">IFERROR(INDEX('1)qPCR'!$E$2:$E$97,MATCH(INDEX(HIDDEN!$C$1:$C$96,SMALL(IF(HIDDEN!$B$1:$B$96=$A71&amp;";"&amp;K$1,ROW(HIDDEN!$B$1:$B$96)-ROW(INDEX(HIDDEN!$B$1:$B$96,1,1))+1),K$2)),'1)qPCR'!$A$2:$A$97,0)),"")</f>
        <v/>
      </c>
      <c r="L71" s="32" t="str">
        <f t="array" ref="L71">IFERROR(INDEX('1)qPCR'!$E$2:$E$97,MATCH(INDEX(HIDDEN!$C$1:$C$96,SMALL(IF(HIDDEN!$B$1:$B$96=$A71&amp;";"&amp;L$1,ROW(HIDDEN!$B$1:$B$96)-ROW(INDEX(HIDDEN!$B$1:$B$96,1,1))+1),L$2)),'1)qPCR'!$A$2:$A$97,0)),"")</f>
        <v/>
      </c>
      <c r="M71" s="32" t="str">
        <f t="array" ref="M71">IFERROR(INDEX('1)qPCR'!$E$2:$E$97,MATCH(INDEX(HIDDEN!$C$1:$C$96,SMALL(IF(HIDDEN!$B$1:$B$96=$A71&amp;";"&amp;M$1,ROW(HIDDEN!$B$1:$B$96)-ROW(INDEX(HIDDEN!$B$1:$B$96,1,1))+1),M$2)),'1)qPCR'!$A$2:$A$97,0)),"")</f>
        <v/>
      </c>
      <c r="N71" s="32" t="str">
        <f t="array" ref="N71">IFERROR(INDEX('1)qPCR'!$E$2:$E$97,MATCH(INDEX(HIDDEN!$C$1:$C$96,SMALL(IF(HIDDEN!$B$1:$B$96=$A71&amp;";"&amp;N$1,ROW(HIDDEN!$B$1:$B$96)-ROW(INDEX(HIDDEN!$B$1:$B$96,1,1))+1),N$2)),'1)qPCR'!$A$2:$A$97,0)),"")</f>
        <v/>
      </c>
      <c r="O71" s="32" t="str">
        <f t="array" ref="O71">IFERROR(INDEX('1)qPCR'!$E$2:$E$97,MATCH(INDEX(HIDDEN!$C$1:$C$96,SMALL(IF(HIDDEN!$B$1:$B$96=$A71&amp;";"&amp;O$1,ROW(HIDDEN!$B$1:$B$96)-ROW(INDEX(HIDDEN!$B$1:$B$96,1,1))+1),O$2)),'1)qPCR'!$A$2:$A$97,0)),"")</f>
        <v/>
      </c>
      <c r="P71" s="7" t="str">
        <f t="shared" si="61"/>
        <v/>
      </c>
      <c r="Q71" s="18" t="str">
        <f t="shared" si="56"/>
        <v/>
      </c>
      <c r="R71" s="7" t="str">
        <f t="shared" si="62"/>
        <v/>
      </c>
      <c r="S71" s="18" t="str">
        <f t="shared" si="57"/>
        <v/>
      </c>
      <c r="T71" s="10" t="str">
        <f t="shared" si="58"/>
        <v/>
      </c>
      <c r="U71" s="10" t="str">
        <f t="shared" si="63"/>
        <v/>
      </c>
      <c r="V71" s="17" t="str">
        <f t="shared" si="64"/>
        <v/>
      </c>
      <c r="W71" s="17" t="str">
        <f t="shared" si="79"/>
        <v/>
      </c>
      <c r="X71" s="17" t="str">
        <f t="shared" si="49"/>
        <v/>
      </c>
      <c r="Y71" s="17" t="str">
        <f t="shared" si="50"/>
        <v/>
      </c>
      <c r="Z71" s="17" t="str">
        <f t="shared" si="65"/>
        <v/>
      </c>
      <c r="AA71" s="17" t="str">
        <f t="shared" si="66"/>
        <v/>
      </c>
      <c r="AB71" s="17" t="str">
        <f t="shared" si="51"/>
        <v/>
      </c>
      <c r="AC71" s="17" t="str">
        <f t="shared" si="52"/>
        <v/>
      </c>
      <c r="AD71" s="17" t="str">
        <f t="shared" si="67"/>
        <v/>
      </c>
      <c r="AE71" s="17" t="str">
        <f t="shared" si="68"/>
        <v/>
      </c>
      <c r="AF71" s="17" t="str">
        <f t="shared" si="69"/>
        <v/>
      </c>
      <c r="AG71" s="17">
        <f t="shared" si="70"/>
        <v>0</v>
      </c>
      <c r="AH71" s="17">
        <f t="shared" si="71"/>
        <v>0</v>
      </c>
      <c r="AI71" s="17">
        <f t="shared" si="72"/>
        <v>0</v>
      </c>
      <c r="AJ71" s="17" t="str">
        <f>IF(AP71="","",IF(AP71&lt;=RANGES!$A$8,1,IF(AP71&lt;=RANGES!$A$9,2,IF(AP71&lt;=RANGES!$A$10,3,IF(AP71&lt;=RANGES!$A$11,4,IF(AP71&lt;=RANGES!$A$12,5,IF(AP71&lt;=RANGES!$A$13,6,IF(AP71&lt;=RANGES!$A$14,7,8))))))))</f>
        <v/>
      </c>
      <c r="AK71" s="17" t="str">
        <f ca="1">IFERROR(INDEX(RANGES!$C$7:$H$7,1,IF(AO71&lt;=INDIRECT("RANGES!C"&amp;7+AJ71),1,IF(AO71&lt;=INDIRECT("RANGES!D"&amp;7+AJ71),2,IF(AO71&lt;=INDIRECT("RANGES!E"&amp;7+AJ71),3,IF(AO71&lt;=INDIRECT("RANGES!F"&amp;7+AJ71),4,IF(AO71&lt;=INDIRECT("RANGES!G"&amp;7+AJ71),5,6)))))),"")</f>
        <v/>
      </c>
      <c r="AL71" s="17">
        <f t="shared" si="73"/>
        <v>0</v>
      </c>
      <c r="AM71" s="17" t="str">
        <f t="shared" si="74"/>
        <v/>
      </c>
      <c r="AN71" s="17" t="str">
        <f t="shared" si="80"/>
        <v/>
      </c>
      <c r="AO71" s="17" t="str">
        <f t="shared" si="81"/>
        <v/>
      </c>
      <c r="AP71" s="17" t="str">
        <f t="shared" si="75"/>
        <v/>
      </c>
      <c r="AQ71" s="17" t="str">
        <f t="shared" si="82"/>
        <v/>
      </c>
      <c r="AR71" s="17" t="str">
        <f t="shared" si="83"/>
        <v/>
      </c>
      <c r="AS71" s="17" t="str">
        <f t="shared" si="84"/>
        <v/>
      </c>
      <c r="AT71" s="7" t="str">
        <f t="shared" si="76"/>
        <v/>
      </c>
      <c r="AU71" s="10" t="str">
        <f t="shared" si="85"/>
        <v/>
      </c>
      <c r="AV71" s="7" t="str">
        <f t="shared" si="77"/>
        <v/>
      </c>
      <c r="AW71" s="21" t="str">
        <f t="shared" si="86"/>
        <v/>
      </c>
      <c r="AX71" s="21" t="str">
        <f t="shared" si="78"/>
        <v/>
      </c>
      <c r="AY71" s="7" t="str">
        <f t="shared" si="87"/>
        <v/>
      </c>
      <c r="AZ71" s="7" t="str">
        <f t="shared" si="88"/>
        <v/>
      </c>
    </row>
    <row r="72" spans="1:52" ht="13.2">
      <c r="A72" s="7" t="str">
        <f>HIDDEN!H71</f>
        <v/>
      </c>
      <c r="B72" s="7" t="str">
        <f>IFERROR(MATCH(A72,'3)PACIENTES'!$A$2:$A$97,0),"")</f>
        <v/>
      </c>
      <c r="C72" s="24" t="str">
        <f>IFERROR(INDEX('3)PACIENTES'!D$2:D$97,SAMPLES!$B72),"")</f>
        <v/>
      </c>
      <c r="D72" s="24" t="str">
        <f>IFERROR(INDEX('3)PACIENTES'!B$2:B$97,SAMPLES!$B72),"")</f>
        <v/>
      </c>
      <c r="E72" s="24" t="str">
        <f>IFERROR(INDEX('3)PACIENTES'!$C$2:$C164,SAMPLES!$B72),"")</f>
        <v/>
      </c>
      <c r="F72" s="22">
        <f>'3)PACIENTES'!$F$2</f>
        <v>44039</v>
      </c>
      <c r="G72" s="13" t="str">
        <f>IFERROR(INDEX('3)PACIENTES'!E$2:E$97,SAMPLES!$B72),"")</f>
        <v/>
      </c>
      <c r="H72" s="17" t="str">
        <f t="shared" si="59"/>
        <v/>
      </c>
      <c r="I72" s="17" t="str">
        <f t="shared" si="60"/>
        <v/>
      </c>
      <c r="J72" s="32" t="str">
        <f t="array" ref="J72">IFERROR(INDEX('1)qPCR'!$E$2:$E$97,MATCH(INDEX(HIDDEN!$C$1:$C$96,SMALL(IF(HIDDEN!$B$1:$B$96=$A72&amp;";"&amp;J$1,ROW(HIDDEN!$B$1:$B$96)-ROW(INDEX(HIDDEN!$B$1:$B$96,1,1))+1),J$2)),'1)qPCR'!$A$2:$A$97,0)),"")</f>
        <v/>
      </c>
      <c r="K72" s="32" t="str">
        <f t="array" ref="K72">IFERROR(INDEX('1)qPCR'!$E$2:$E$97,MATCH(INDEX(HIDDEN!$C$1:$C$96,SMALL(IF(HIDDEN!$B$1:$B$96=$A72&amp;";"&amp;K$1,ROW(HIDDEN!$B$1:$B$96)-ROW(INDEX(HIDDEN!$B$1:$B$96,1,1))+1),K$2)),'1)qPCR'!$A$2:$A$97,0)),"")</f>
        <v/>
      </c>
      <c r="L72" s="32" t="str">
        <f t="array" ref="L72">IFERROR(INDEX('1)qPCR'!$E$2:$E$97,MATCH(INDEX(HIDDEN!$C$1:$C$96,SMALL(IF(HIDDEN!$B$1:$B$96=$A72&amp;";"&amp;L$1,ROW(HIDDEN!$B$1:$B$96)-ROW(INDEX(HIDDEN!$B$1:$B$96,1,1))+1),L$2)),'1)qPCR'!$A$2:$A$97,0)),"")</f>
        <v/>
      </c>
      <c r="M72" s="32" t="str">
        <f t="array" ref="M72">IFERROR(INDEX('1)qPCR'!$E$2:$E$97,MATCH(INDEX(HIDDEN!$C$1:$C$96,SMALL(IF(HIDDEN!$B$1:$B$96=$A72&amp;";"&amp;M$1,ROW(HIDDEN!$B$1:$B$96)-ROW(INDEX(HIDDEN!$B$1:$B$96,1,1))+1),M$2)),'1)qPCR'!$A$2:$A$97,0)),"")</f>
        <v/>
      </c>
      <c r="N72" s="32" t="str">
        <f t="array" ref="N72">IFERROR(INDEX('1)qPCR'!$E$2:$E$97,MATCH(INDEX(HIDDEN!$C$1:$C$96,SMALL(IF(HIDDEN!$B$1:$B$96=$A72&amp;";"&amp;N$1,ROW(HIDDEN!$B$1:$B$96)-ROW(INDEX(HIDDEN!$B$1:$B$96,1,1))+1),N$2)),'1)qPCR'!$A$2:$A$97,0)),"")</f>
        <v/>
      </c>
      <c r="O72" s="32" t="str">
        <f t="array" ref="O72">IFERROR(INDEX('1)qPCR'!$E$2:$E$97,MATCH(INDEX(HIDDEN!$C$1:$C$96,SMALL(IF(HIDDEN!$B$1:$B$96=$A72&amp;";"&amp;O$1,ROW(HIDDEN!$B$1:$B$96)-ROW(INDEX(HIDDEN!$B$1:$B$96,1,1))+1),O$2)),'1)qPCR'!$A$2:$A$97,0)),"")</f>
        <v/>
      </c>
      <c r="P72" s="7" t="str">
        <f t="shared" si="61"/>
        <v/>
      </c>
      <c r="Q72" s="18" t="str">
        <f t="shared" si="56"/>
        <v/>
      </c>
      <c r="R72" s="7" t="str">
        <f t="shared" si="62"/>
        <v/>
      </c>
      <c r="S72" s="18" t="str">
        <f t="shared" si="57"/>
        <v/>
      </c>
      <c r="T72" s="10" t="str">
        <f t="shared" si="58"/>
        <v/>
      </c>
      <c r="U72" s="10" t="str">
        <f t="shared" si="63"/>
        <v/>
      </c>
      <c r="V72" s="17" t="str">
        <f t="shared" si="64"/>
        <v/>
      </c>
      <c r="W72" s="17" t="str">
        <f t="shared" si="79"/>
        <v/>
      </c>
      <c r="X72" s="17" t="str">
        <f t="shared" si="49"/>
        <v/>
      </c>
      <c r="Y72" s="17" t="str">
        <f t="shared" si="50"/>
        <v/>
      </c>
      <c r="Z72" s="17" t="str">
        <f t="shared" si="65"/>
        <v/>
      </c>
      <c r="AA72" s="17" t="str">
        <f t="shared" si="66"/>
        <v/>
      </c>
      <c r="AB72" s="17" t="str">
        <f t="shared" si="51"/>
        <v/>
      </c>
      <c r="AC72" s="17" t="str">
        <f t="shared" si="52"/>
        <v/>
      </c>
      <c r="AD72" s="17" t="str">
        <f t="shared" si="67"/>
        <v/>
      </c>
      <c r="AE72" s="17" t="str">
        <f t="shared" si="68"/>
        <v/>
      </c>
      <c r="AF72" s="17" t="str">
        <f t="shared" si="69"/>
        <v/>
      </c>
      <c r="AG72" s="17">
        <f t="shared" si="70"/>
        <v>0</v>
      </c>
      <c r="AH72" s="17">
        <f t="shared" si="71"/>
        <v>0</v>
      </c>
      <c r="AI72" s="17">
        <f t="shared" si="72"/>
        <v>0</v>
      </c>
      <c r="AJ72" s="17" t="str">
        <f>IF(AP72="","",IF(AP72&lt;=RANGES!$A$8,1,IF(AP72&lt;=RANGES!$A$9,2,IF(AP72&lt;=RANGES!$A$10,3,IF(AP72&lt;=RANGES!$A$11,4,IF(AP72&lt;=RANGES!$A$12,5,IF(AP72&lt;=RANGES!$A$13,6,IF(AP72&lt;=RANGES!$A$14,7,8))))))))</f>
        <v/>
      </c>
      <c r="AK72" s="17" t="str">
        <f ca="1">IFERROR(INDEX(RANGES!$C$7:$H$7,1,IF(AO72&lt;=INDIRECT("RANGES!C"&amp;7+AJ72),1,IF(AO72&lt;=INDIRECT("RANGES!D"&amp;7+AJ72),2,IF(AO72&lt;=INDIRECT("RANGES!E"&amp;7+AJ72),3,IF(AO72&lt;=INDIRECT("RANGES!F"&amp;7+AJ72),4,IF(AO72&lt;=INDIRECT("RANGES!G"&amp;7+AJ72),5,6)))))),"")</f>
        <v/>
      </c>
      <c r="AL72" s="17">
        <f t="shared" si="73"/>
        <v>0</v>
      </c>
      <c r="AM72" s="17" t="str">
        <f t="shared" si="74"/>
        <v/>
      </c>
      <c r="AN72" s="17" t="str">
        <f t="shared" si="80"/>
        <v/>
      </c>
      <c r="AO72" s="17" t="str">
        <f t="shared" si="81"/>
        <v/>
      </c>
      <c r="AP72" s="17" t="str">
        <f t="shared" si="75"/>
        <v/>
      </c>
      <c r="AQ72" s="17" t="str">
        <f t="shared" si="82"/>
        <v/>
      </c>
      <c r="AR72" s="17" t="str">
        <f t="shared" si="83"/>
        <v/>
      </c>
      <c r="AS72" s="17" t="str">
        <f t="shared" si="84"/>
        <v/>
      </c>
      <c r="AT72" s="7" t="str">
        <f t="shared" si="76"/>
        <v/>
      </c>
      <c r="AU72" s="10" t="str">
        <f t="shared" si="85"/>
        <v/>
      </c>
      <c r="AV72" s="7" t="str">
        <f t="shared" si="77"/>
        <v/>
      </c>
      <c r="AW72" s="21" t="str">
        <f t="shared" si="86"/>
        <v/>
      </c>
      <c r="AX72" s="21" t="str">
        <f t="shared" si="78"/>
        <v/>
      </c>
      <c r="AY72" s="7" t="str">
        <f t="shared" si="87"/>
        <v/>
      </c>
      <c r="AZ72" s="7" t="str">
        <f t="shared" si="88"/>
        <v/>
      </c>
    </row>
    <row r="73" spans="1:52" ht="13.2">
      <c r="A73" s="7" t="str">
        <f>HIDDEN!H72</f>
        <v/>
      </c>
      <c r="B73" s="7" t="str">
        <f>IFERROR(MATCH(A73,'3)PACIENTES'!$A$2:$A$97,0),"")</f>
        <v/>
      </c>
      <c r="C73" s="24" t="str">
        <f>IFERROR(INDEX('3)PACIENTES'!D$2:D$97,SAMPLES!$B73),"")</f>
        <v/>
      </c>
      <c r="D73" s="24" t="str">
        <f>IFERROR(INDEX('3)PACIENTES'!B$2:B$97,SAMPLES!$B73),"")</f>
        <v/>
      </c>
      <c r="E73" s="24" t="str">
        <f>IFERROR(INDEX('3)PACIENTES'!$C$2:$C165,SAMPLES!$B73),"")</f>
        <v/>
      </c>
      <c r="F73" s="22">
        <f>'3)PACIENTES'!$F$2</f>
        <v>44039</v>
      </c>
      <c r="G73" s="13" t="str">
        <f>IFERROR(INDEX('3)PACIENTES'!E$2:E$97,SAMPLES!$B73),"")</f>
        <v/>
      </c>
      <c r="H73" s="17" t="str">
        <f t="shared" si="59"/>
        <v/>
      </c>
      <c r="I73" s="17" t="str">
        <f t="shared" si="60"/>
        <v/>
      </c>
      <c r="J73" s="32" t="str">
        <f t="array" ref="J73">IFERROR(INDEX('1)qPCR'!$E$2:$E$97,MATCH(INDEX(HIDDEN!$C$1:$C$96,SMALL(IF(HIDDEN!$B$1:$B$96=$A73&amp;";"&amp;J$1,ROW(HIDDEN!$B$1:$B$96)-ROW(INDEX(HIDDEN!$B$1:$B$96,1,1))+1),J$2)),'1)qPCR'!$A$2:$A$97,0)),"")</f>
        <v/>
      </c>
      <c r="K73" s="32" t="str">
        <f t="array" ref="K73">IFERROR(INDEX('1)qPCR'!$E$2:$E$97,MATCH(INDEX(HIDDEN!$C$1:$C$96,SMALL(IF(HIDDEN!$B$1:$B$96=$A73&amp;";"&amp;K$1,ROW(HIDDEN!$B$1:$B$96)-ROW(INDEX(HIDDEN!$B$1:$B$96,1,1))+1),K$2)),'1)qPCR'!$A$2:$A$97,0)),"")</f>
        <v/>
      </c>
      <c r="L73" s="32" t="str">
        <f t="array" ref="L73">IFERROR(INDEX('1)qPCR'!$E$2:$E$97,MATCH(INDEX(HIDDEN!$C$1:$C$96,SMALL(IF(HIDDEN!$B$1:$B$96=$A73&amp;";"&amp;L$1,ROW(HIDDEN!$B$1:$B$96)-ROW(INDEX(HIDDEN!$B$1:$B$96,1,1))+1),L$2)),'1)qPCR'!$A$2:$A$97,0)),"")</f>
        <v/>
      </c>
      <c r="M73" s="32" t="str">
        <f t="array" ref="M73">IFERROR(INDEX('1)qPCR'!$E$2:$E$97,MATCH(INDEX(HIDDEN!$C$1:$C$96,SMALL(IF(HIDDEN!$B$1:$B$96=$A73&amp;";"&amp;M$1,ROW(HIDDEN!$B$1:$B$96)-ROW(INDEX(HIDDEN!$B$1:$B$96,1,1))+1),M$2)),'1)qPCR'!$A$2:$A$97,0)),"")</f>
        <v/>
      </c>
      <c r="N73" s="32" t="str">
        <f t="array" ref="N73">IFERROR(INDEX('1)qPCR'!$E$2:$E$97,MATCH(INDEX(HIDDEN!$C$1:$C$96,SMALL(IF(HIDDEN!$B$1:$B$96=$A73&amp;";"&amp;N$1,ROW(HIDDEN!$B$1:$B$96)-ROW(INDEX(HIDDEN!$B$1:$B$96,1,1))+1),N$2)),'1)qPCR'!$A$2:$A$97,0)),"")</f>
        <v/>
      </c>
      <c r="O73" s="32" t="str">
        <f t="array" ref="O73">IFERROR(INDEX('1)qPCR'!$E$2:$E$97,MATCH(INDEX(HIDDEN!$C$1:$C$96,SMALL(IF(HIDDEN!$B$1:$B$96=$A73&amp;";"&amp;O$1,ROW(HIDDEN!$B$1:$B$96)-ROW(INDEX(HIDDEN!$B$1:$B$96,1,1))+1),O$2)),'1)qPCR'!$A$2:$A$97,0)),"")</f>
        <v/>
      </c>
      <c r="P73" s="7" t="str">
        <f t="shared" si="61"/>
        <v/>
      </c>
      <c r="Q73" s="18" t="str">
        <f t="shared" si="56"/>
        <v/>
      </c>
      <c r="R73" s="7" t="str">
        <f t="shared" si="62"/>
        <v/>
      </c>
      <c r="S73" s="18" t="str">
        <f t="shared" si="57"/>
        <v/>
      </c>
      <c r="T73" s="10" t="str">
        <f t="shared" si="58"/>
        <v/>
      </c>
      <c r="U73" s="10" t="str">
        <f t="shared" si="63"/>
        <v/>
      </c>
      <c r="V73" s="17" t="str">
        <f t="shared" si="64"/>
        <v/>
      </c>
      <c r="W73" s="17" t="str">
        <f t="shared" si="79"/>
        <v/>
      </c>
      <c r="X73" s="17" t="str">
        <f t="shared" si="49"/>
        <v/>
      </c>
      <c r="Y73" s="17" t="str">
        <f t="shared" si="50"/>
        <v/>
      </c>
      <c r="Z73" s="17" t="str">
        <f t="shared" si="65"/>
        <v/>
      </c>
      <c r="AA73" s="17" t="str">
        <f t="shared" si="66"/>
        <v/>
      </c>
      <c r="AB73" s="17" t="str">
        <f t="shared" si="51"/>
        <v/>
      </c>
      <c r="AC73" s="17" t="str">
        <f t="shared" si="52"/>
        <v/>
      </c>
      <c r="AD73" s="17" t="str">
        <f t="shared" si="67"/>
        <v/>
      </c>
      <c r="AE73" s="17" t="str">
        <f t="shared" si="68"/>
        <v/>
      </c>
      <c r="AF73" s="17" t="str">
        <f t="shared" si="69"/>
        <v/>
      </c>
      <c r="AG73" s="17">
        <f t="shared" si="70"/>
        <v>0</v>
      </c>
      <c r="AH73" s="17">
        <f t="shared" si="71"/>
        <v>0</v>
      </c>
      <c r="AI73" s="17">
        <f t="shared" si="72"/>
        <v>0</v>
      </c>
      <c r="AJ73" s="17" t="str">
        <f>IF(AP73="","",IF(AP73&lt;=RANGES!$A$8,1,IF(AP73&lt;=RANGES!$A$9,2,IF(AP73&lt;=RANGES!$A$10,3,IF(AP73&lt;=RANGES!$A$11,4,IF(AP73&lt;=RANGES!$A$12,5,IF(AP73&lt;=RANGES!$A$13,6,IF(AP73&lt;=RANGES!$A$14,7,8))))))))</f>
        <v/>
      </c>
      <c r="AK73" s="17" t="str">
        <f ca="1">IFERROR(INDEX(RANGES!$C$7:$H$7,1,IF(AO73&lt;=INDIRECT("RANGES!C"&amp;7+AJ73),1,IF(AO73&lt;=INDIRECT("RANGES!D"&amp;7+AJ73),2,IF(AO73&lt;=INDIRECT("RANGES!E"&amp;7+AJ73),3,IF(AO73&lt;=INDIRECT("RANGES!F"&amp;7+AJ73),4,IF(AO73&lt;=INDIRECT("RANGES!G"&amp;7+AJ73),5,6)))))),"")</f>
        <v/>
      </c>
      <c r="AL73" s="17">
        <f t="shared" si="73"/>
        <v>0</v>
      </c>
      <c r="AM73" s="17" t="str">
        <f t="shared" si="74"/>
        <v/>
      </c>
      <c r="AN73" s="17" t="str">
        <f t="shared" si="80"/>
        <v/>
      </c>
      <c r="AO73" s="17" t="str">
        <f t="shared" si="81"/>
        <v/>
      </c>
      <c r="AP73" s="17" t="str">
        <f t="shared" si="75"/>
        <v/>
      </c>
      <c r="AQ73" s="17" t="str">
        <f t="shared" si="82"/>
        <v/>
      </c>
      <c r="AR73" s="17" t="str">
        <f t="shared" si="83"/>
        <v/>
      </c>
      <c r="AS73" s="17" t="str">
        <f t="shared" si="84"/>
        <v/>
      </c>
      <c r="AT73" s="7" t="str">
        <f t="shared" si="76"/>
        <v/>
      </c>
      <c r="AU73" s="10" t="str">
        <f t="shared" si="85"/>
        <v/>
      </c>
      <c r="AV73" s="7" t="str">
        <f t="shared" si="77"/>
        <v/>
      </c>
      <c r="AW73" s="21" t="str">
        <f t="shared" si="86"/>
        <v/>
      </c>
      <c r="AX73" s="21" t="str">
        <f t="shared" si="78"/>
        <v/>
      </c>
      <c r="AY73" s="7" t="str">
        <f t="shared" si="87"/>
        <v/>
      </c>
      <c r="AZ73" s="7" t="str">
        <f t="shared" si="88"/>
        <v/>
      </c>
    </row>
    <row r="74" spans="1:52" ht="13.2">
      <c r="A74" s="7" t="str">
        <f>HIDDEN!H73</f>
        <v/>
      </c>
      <c r="B74" s="7" t="str">
        <f>IFERROR(MATCH(A74,'3)PACIENTES'!$A$2:$A$97,0),"")</f>
        <v/>
      </c>
      <c r="C74" s="24" t="str">
        <f>IFERROR(INDEX('3)PACIENTES'!D$2:D$97,SAMPLES!$B74),"")</f>
        <v/>
      </c>
      <c r="D74" s="24" t="str">
        <f>IFERROR(INDEX('3)PACIENTES'!B$2:B$97,SAMPLES!$B74),"")</f>
        <v/>
      </c>
      <c r="E74" s="24" t="str">
        <f>IFERROR(INDEX('3)PACIENTES'!$C$2:$C166,SAMPLES!$B74),"")</f>
        <v/>
      </c>
      <c r="F74" s="22">
        <f>'3)PACIENTES'!$F$2</f>
        <v>44039</v>
      </c>
      <c r="G74" s="13" t="str">
        <f>IFERROR(INDEX('3)PACIENTES'!E$2:E$97,SAMPLES!$B74),"")</f>
        <v/>
      </c>
      <c r="H74" s="17" t="str">
        <f t="shared" si="59"/>
        <v/>
      </c>
      <c r="I74" s="17" t="str">
        <f t="shared" si="60"/>
        <v/>
      </c>
      <c r="J74" s="32" t="str">
        <f t="array" ref="J74">IFERROR(INDEX('1)qPCR'!$E$2:$E$97,MATCH(INDEX(HIDDEN!$C$1:$C$96,SMALL(IF(HIDDEN!$B$1:$B$96=$A74&amp;";"&amp;J$1,ROW(HIDDEN!$B$1:$B$96)-ROW(INDEX(HIDDEN!$B$1:$B$96,1,1))+1),J$2)),'1)qPCR'!$A$2:$A$97,0)),"")</f>
        <v/>
      </c>
      <c r="K74" s="32" t="str">
        <f t="array" ref="K74">IFERROR(INDEX('1)qPCR'!$E$2:$E$97,MATCH(INDEX(HIDDEN!$C$1:$C$96,SMALL(IF(HIDDEN!$B$1:$B$96=$A74&amp;";"&amp;K$1,ROW(HIDDEN!$B$1:$B$96)-ROW(INDEX(HIDDEN!$B$1:$B$96,1,1))+1),K$2)),'1)qPCR'!$A$2:$A$97,0)),"")</f>
        <v/>
      </c>
      <c r="L74" s="32" t="str">
        <f t="array" ref="L74">IFERROR(INDEX('1)qPCR'!$E$2:$E$97,MATCH(INDEX(HIDDEN!$C$1:$C$96,SMALL(IF(HIDDEN!$B$1:$B$96=$A74&amp;";"&amp;L$1,ROW(HIDDEN!$B$1:$B$96)-ROW(INDEX(HIDDEN!$B$1:$B$96,1,1))+1),L$2)),'1)qPCR'!$A$2:$A$97,0)),"")</f>
        <v/>
      </c>
      <c r="M74" s="32" t="str">
        <f t="array" ref="M74">IFERROR(INDEX('1)qPCR'!$E$2:$E$97,MATCH(INDEX(HIDDEN!$C$1:$C$96,SMALL(IF(HIDDEN!$B$1:$B$96=$A74&amp;";"&amp;M$1,ROW(HIDDEN!$B$1:$B$96)-ROW(INDEX(HIDDEN!$B$1:$B$96,1,1))+1),M$2)),'1)qPCR'!$A$2:$A$97,0)),"")</f>
        <v/>
      </c>
      <c r="N74" s="32" t="str">
        <f t="array" ref="N74">IFERROR(INDEX('1)qPCR'!$E$2:$E$97,MATCH(INDEX(HIDDEN!$C$1:$C$96,SMALL(IF(HIDDEN!$B$1:$B$96=$A74&amp;";"&amp;N$1,ROW(HIDDEN!$B$1:$B$96)-ROW(INDEX(HIDDEN!$B$1:$B$96,1,1))+1),N$2)),'1)qPCR'!$A$2:$A$97,0)),"")</f>
        <v/>
      </c>
      <c r="O74" s="32" t="str">
        <f t="array" ref="O74">IFERROR(INDEX('1)qPCR'!$E$2:$E$97,MATCH(INDEX(HIDDEN!$C$1:$C$96,SMALL(IF(HIDDEN!$B$1:$B$96=$A74&amp;";"&amp;O$1,ROW(HIDDEN!$B$1:$B$96)-ROW(INDEX(HIDDEN!$B$1:$B$96,1,1))+1),O$2)),'1)qPCR'!$A$2:$A$97,0)),"")</f>
        <v/>
      </c>
      <c r="P74" s="7" t="str">
        <f t="shared" si="61"/>
        <v/>
      </c>
      <c r="Q74" s="18" t="str">
        <f t="shared" si="56"/>
        <v/>
      </c>
      <c r="R74" s="7" t="str">
        <f t="shared" si="62"/>
        <v/>
      </c>
      <c r="S74" s="18" t="str">
        <f t="shared" si="57"/>
        <v/>
      </c>
      <c r="T74" s="10" t="str">
        <f t="shared" si="58"/>
        <v/>
      </c>
      <c r="U74" s="10" t="str">
        <f t="shared" si="63"/>
        <v/>
      </c>
      <c r="V74" s="17" t="str">
        <f t="shared" si="64"/>
        <v/>
      </c>
      <c r="W74" s="17" t="str">
        <f t="shared" si="79"/>
        <v/>
      </c>
      <c r="X74" s="17" t="str">
        <f t="shared" si="49"/>
        <v/>
      </c>
      <c r="Y74" s="17" t="str">
        <f t="shared" si="50"/>
        <v/>
      </c>
      <c r="Z74" s="17" t="str">
        <f t="shared" si="65"/>
        <v/>
      </c>
      <c r="AA74" s="17" t="str">
        <f t="shared" si="66"/>
        <v/>
      </c>
      <c r="AB74" s="17" t="str">
        <f t="shared" si="51"/>
        <v/>
      </c>
      <c r="AC74" s="17" t="str">
        <f t="shared" si="52"/>
        <v/>
      </c>
      <c r="AD74" s="17" t="str">
        <f t="shared" si="67"/>
        <v/>
      </c>
      <c r="AE74" s="17" t="str">
        <f t="shared" si="68"/>
        <v/>
      </c>
      <c r="AF74" s="17" t="str">
        <f t="shared" si="69"/>
        <v/>
      </c>
      <c r="AG74" s="17">
        <f t="shared" si="70"/>
        <v>0</v>
      </c>
      <c r="AH74" s="17">
        <f t="shared" si="71"/>
        <v>0</v>
      </c>
      <c r="AI74" s="17">
        <f t="shared" si="72"/>
        <v>0</v>
      </c>
      <c r="AJ74" s="17" t="str">
        <f>IF(AP74="","",IF(AP74&lt;=RANGES!$A$8,1,IF(AP74&lt;=RANGES!$A$9,2,IF(AP74&lt;=RANGES!$A$10,3,IF(AP74&lt;=RANGES!$A$11,4,IF(AP74&lt;=RANGES!$A$12,5,IF(AP74&lt;=RANGES!$A$13,6,IF(AP74&lt;=RANGES!$A$14,7,8))))))))</f>
        <v/>
      </c>
      <c r="AK74" s="17" t="str">
        <f ca="1">IFERROR(INDEX(RANGES!$C$7:$H$7,1,IF(AO74&lt;=INDIRECT("RANGES!C"&amp;7+AJ74),1,IF(AO74&lt;=INDIRECT("RANGES!D"&amp;7+AJ74),2,IF(AO74&lt;=INDIRECT("RANGES!E"&amp;7+AJ74),3,IF(AO74&lt;=INDIRECT("RANGES!F"&amp;7+AJ74),4,IF(AO74&lt;=INDIRECT("RANGES!G"&amp;7+AJ74),5,6)))))),"")</f>
        <v/>
      </c>
      <c r="AL74" s="17">
        <f t="shared" si="73"/>
        <v>0</v>
      </c>
      <c r="AM74" s="17" t="str">
        <f t="shared" si="74"/>
        <v/>
      </c>
      <c r="AN74" s="17" t="str">
        <f t="shared" si="80"/>
        <v/>
      </c>
      <c r="AO74" s="17" t="str">
        <f t="shared" si="81"/>
        <v/>
      </c>
      <c r="AP74" s="17" t="str">
        <f t="shared" si="75"/>
        <v/>
      </c>
      <c r="AQ74" s="17" t="str">
        <f t="shared" si="82"/>
        <v/>
      </c>
      <c r="AR74" s="17" t="str">
        <f t="shared" si="83"/>
        <v/>
      </c>
      <c r="AS74" s="17" t="str">
        <f t="shared" si="84"/>
        <v/>
      </c>
      <c r="AT74" s="7" t="str">
        <f t="shared" si="76"/>
        <v/>
      </c>
      <c r="AU74" s="10" t="str">
        <f t="shared" si="85"/>
        <v/>
      </c>
      <c r="AV74" s="7" t="str">
        <f t="shared" si="77"/>
        <v/>
      </c>
      <c r="AW74" s="21" t="str">
        <f t="shared" si="86"/>
        <v/>
      </c>
      <c r="AX74" s="21" t="str">
        <f t="shared" si="78"/>
        <v/>
      </c>
      <c r="AY74" s="7" t="str">
        <f t="shared" si="87"/>
        <v/>
      </c>
      <c r="AZ74" s="7" t="str">
        <f t="shared" si="88"/>
        <v/>
      </c>
    </row>
    <row r="75" spans="1:52" ht="13.2">
      <c r="A75" s="7" t="str">
        <f>HIDDEN!H74</f>
        <v/>
      </c>
      <c r="B75" s="7" t="str">
        <f>IFERROR(MATCH(A75,'3)PACIENTES'!$A$2:$A$97,0),"")</f>
        <v/>
      </c>
      <c r="C75" s="24" t="str">
        <f>IFERROR(INDEX('3)PACIENTES'!D$2:D$97,SAMPLES!$B75),"")</f>
        <v/>
      </c>
      <c r="D75" s="24" t="str">
        <f>IFERROR(INDEX('3)PACIENTES'!B$2:B$97,SAMPLES!$B75),"")</f>
        <v/>
      </c>
      <c r="E75" s="24" t="str">
        <f>IFERROR(INDEX('3)PACIENTES'!$C$2:$C167,SAMPLES!$B75),"")</f>
        <v/>
      </c>
      <c r="F75" s="22">
        <f>'3)PACIENTES'!$F$2</f>
        <v>44039</v>
      </c>
      <c r="G75" s="13" t="str">
        <f>IFERROR(INDEX('3)PACIENTES'!E$2:E$97,SAMPLES!$B75),"")</f>
        <v/>
      </c>
      <c r="H75" s="17" t="str">
        <f t="shared" si="59"/>
        <v/>
      </c>
      <c r="I75" s="17" t="str">
        <f t="shared" si="60"/>
        <v/>
      </c>
      <c r="J75" s="32" t="str">
        <f t="array" ref="J75">IFERROR(INDEX('1)qPCR'!$E$2:$E$97,MATCH(INDEX(HIDDEN!$C$1:$C$96,SMALL(IF(HIDDEN!$B$1:$B$96=$A75&amp;";"&amp;J$1,ROW(HIDDEN!$B$1:$B$96)-ROW(INDEX(HIDDEN!$B$1:$B$96,1,1))+1),J$2)),'1)qPCR'!$A$2:$A$97,0)),"")</f>
        <v/>
      </c>
      <c r="K75" s="32" t="str">
        <f t="array" ref="K75">IFERROR(INDEX('1)qPCR'!$E$2:$E$97,MATCH(INDEX(HIDDEN!$C$1:$C$96,SMALL(IF(HIDDEN!$B$1:$B$96=$A75&amp;";"&amp;K$1,ROW(HIDDEN!$B$1:$B$96)-ROW(INDEX(HIDDEN!$B$1:$B$96,1,1))+1),K$2)),'1)qPCR'!$A$2:$A$97,0)),"")</f>
        <v/>
      </c>
      <c r="L75" s="32" t="str">
        <f t="array" ref="L75">IFERROR(INDEX('1)qPCR'!$E$2:$E$97,MATCH(INDEX(HIDDEN!$C$1:$C$96,SMALL(IF(HIDDEN!$B$1:$B$96=$A75&amp;";"&amp;L$1,ROW(HIDDEN!$B$1:$B$96)-ROW(INDEX(HIDDEN!$B$1:$B$96,1,1))+1),L$2)),'1)qPCR'!$A$2:$A$97,0)),"")</f>
        <v/>
      </c>
      <c r="M75" s="32" t="str">
        <f t="array" ref="M75">IFERROR(INDEX('1)qPCR'!$E$2:$E$97,MATCH(INDEX(HIDDEN!$C$1:$C$96,SMALL(IF(HIDDEN!$B$1:$B$96=$A75&amp;";"&amp;M$1,ROW(HIDDEN!$B$1:$B$96)-ROW(INDEX(HIDDEN!$B$1:$B$96,1,1))+1),M$2)),'1)qPCR'!$A$2:$A$97,0)),"")</f>
        <v/>
      </c>
      <c r="N75" s="32" t="str">
        <f t="array" ref="N75">IFERROR(INDEX('1)qPCR'!$E$2:$E$97,MATCH(INDEX(HIDDEN!$C$1:$C$96,SMALL(IF(HIDDEN!$B$1:$B$96=$A75&amp;";"&amp;N$1,ROW(HIDDEN!$B$1:$B$96)-ROW(INDEX(HIDDEN!$B$1:$B$96,1,1))+1),N$2)),'1)qPCR'!$A$2:$A$97,0)),"")</f>
        <v/>
      </c>
      <c r="O75" s="32" t="str">
        <f t="array" ref="O75">IFERROR(INDEX('1)qPCR'!$E$2:$E$97,MATCH(INDEX(HIDDEN!$C$1:$C$96,SMALL(IF(HIDDEN!$B$1:$B$96=$A75&amp;";"&amp;O$1,ROW(HIDDEN!$B$1:$B$96)-ROW(INDEX(HIDDEN!$B$1:$B$96,1,1))+1),O$2)),'1)qPCR'!$A$2:$A$97,0)),"")</f>
        <v/>
      </c>
      <c r="P75" s="7" t="str">
        <f t="shared" si="61"/>
        <v/>
      </c>
      <c r="Q75" s="18" t="str">
        <f t="shared" si="56"/>
        <v/>
      </c>
      <c r="R75" s="7" t="str">
        <f t="shared" si="62"/>
        <v/>
      </c>
      <c r="S75" s="18" t="str">
        <f t="shared" si="57"/>
        <v/>
      </c>
      <c r="T75" s="10" t="str">
        <f t="shared" si="58"/>
        <v/>
      </c>
      <c r="U75" s="10" t="str">
        <f t="shared" si="63"/>
        <v/>
      </c>
      <c r="V75" s="17" t="str">
        <f t="shared" si="64"/>
        <v/>
      </c>
      <c r="W75" s="17" t="str">
        <f t="shared" si="79"/>
        <v/>
      </c>
      <c r="X75" s="17" t="str">
        <f t="shared" si="49"/>
        <v/>
      </c>
      <c r="Y75" s="17" t="str">
        <f t="shared" si="50"/>
        <v/>
      </c>
      <c r="Z75" s="17" t="str">
        <f t="shared" si="65"/>
        <v/>
      </c>
      <c r="AA75" s="17" t="str">
        <f t="shared" si="66"/>
        <v/>
      </c>
      <c r="AB75" s="17" t="str">
        <f t="shared" si="51"/>
        <v/>
      </c>
      <c r="AC75" s="17" t="str">
        <f t="shared" si="52"/>
        <v/>
      </c>
      <c r="AD75" s="17" t="str">
        <f t="shared" si="67"/>
        <v/>
      </c>
      <c r="AE75" s="17" t="str">
        <f t="shared" si="68"/>
        <v/>
      </c>
      <c r="AF75" s="17" t="str">
        <f t="shared" si="69"/>
        <v/>
      </c>
      <c r="AG75" s="17">
        <f t="shared" si="70"/>
        <v>0</v>
      </c>
      <c r="AH75" s="17">
        <f t="shared" si="71"/>
        <v>0</v>
      </c>
      <c r="AI75" s="17">
        <f t="shared" si="72"/>
        <v>0</v>
      </c>
      <c r="AJ75" s="17" t="str">
        <f>IF(AP75="","",IF(AP75&lt;=RANGES!$A$8,1,IF(AP75&lt;=RANGES!$A$9,2,IF(AP75&lt;=RANGES!$A$10,3,IF(AP75&lt;=RANGES!$A$11,4,IF(AP75&lt;=RANGES!$A$12,5,IF(AP75&lt;=RANGES!$A$13,6,IF(AP75&lt;=RANGES!$A$14,7,8))))))))</f>
        <v/>
      </c>
      <c r="AK75" s="17" t="str">
        <f ca="1">IFERROR(INDEX(RANGES!$C$7:$H$7,1,IF(AO75&lt;=INDIRECT("RANGES!C"&amp;7+AJ75),1,IF(AO75&lt;=INDIRECT("RANGES!D"&amp;7+AJ75),2,IF(AO75&lt;=INDIRECT("RANGES!E"&amp;7+AJ75),3,IF(AO75&lt;=INDIRECT("RANGES!F"&amp;7+AJ75),4,IF(AO75&lt;=INDIRECT("RANGES!G"&amp;7+AJ75),5,6)))))),"")</f>
        <v/>
      </c>
      <c r="AL75" s="17">
        <f t="shared" si="73"/>
        <v>0</v>
      </c>
      <c r="AM75" s="17" t="str">
        <f t="shared" si="74"/>
        <v/>
      </c>
      <c r="AN75" s="17" t="str">
        <f t="shared" si="80"/>
        <v/>
      </c>
      <c r="AO75" s="17" t="str">
        <f t="shared" si="81"/>
        <v/>
      </c>
      <c r="AP75" s="17" t="str">
        <f t="shared" si="75"/>
        <v/>
      </c>
      <c r="AQ75" s="17" t="str">
        <f t="shared" si="82"/>
        <v/>
      </c>
      <c r="AR75" s="17" t="str">
        <f t="shared" si="83"/>
        <v/>
      </c>
      <c r="AS75" s="17" t="str">
        <f t="shared" si="84"/>
        <v/>
      </c>
      <c r="AT75" s="7" t="str">
        <f t="shared" si="76"/>
        <v/>
      </c>
      <c r="AU75" s="10" t="str">
        <f t="shared" si="85"/>
        <v/>
      </c>
      <c r="AV75" s="7" t="str">
        <f t="shared" si="77"/>
        <v/>
      </c>
      <c r="AW75" s="21" t="str">
        <f t="shared" si="86"/>
        <v/>
      </c>
      <c r="AX75" s="21" t="str">
        <f t="shared" si="78"/>
        <v/>
      </c>
      <c r="AY75" s="7" t="str">
        <f t="shared" si="87"/>
        <v/>
      </c>
      <c r="AZ75" s="7" t="str">
        <f t="shared" si="88"/>
        <v/>
      </c>
    </row>
    <row r="76" spans="1:52" ht="13.2">
      <c r="A76" s="7" t="str">
        <f>HIDDEN!H75</f>
        <v/>
      </c>
      <c r="B76" s="7" t="str">
        <f>IFERROR(MATCH(A76,'3)PACIENTES'!$A$2:$A$97,0),"")</f>
        <v/>
      </c>
      <c r="C76" s="24" t="str">
        <f>IFERROR(INDEX('3)PACIENTES'!D$2:D$97,SAMPLES!$B76),"")</f>
        <v/>
      </c>
      <c r="D76" s="24" t="str">
        <f>IFERROR(INDEX('3)PACIENTES'!B$2:B$97,SAMPLES!$B76),"")</f>
        <v/>
      </c>
      <c r="E76" s="24" t="str">
        <f>IFERROR(INDEX('3)PACIENTES'!$C$2:$C168,SAMPLES!$B76),"")</f>
        <v/>
      </c>
      <c r="F76" s="22">
        <f>'3)PACIENTES'!$F$2</f>
        <v>44039</v>
      </c>
      <c r="G76" s="13" t="str">
        <f>IFERROR(INDEX('3)PACIENTES'!E$2:E$97,SAMPLES!$B76),"")</f>
        <v/>
      </c>
      <c r="H76" s="17" t="str">
        <f t="shared" si="59"/>
        <v/>
      </c>
      <c r="I76" s="17" t="str">
        <f t="shared" si="60"/>
        <v/>
      </c>
      <c r="J76" s="32" t="str">
        <f t="array" ref="J76">IFERROR(INDEX('1)qPCR'!$E$2:$E$97,MATCH(INDEX(HIDDEN!$C$1:$C$96,SMALL(IF(HIDDEN!$B$1:$B$96=$A76&amp;";"&amp;J$1,ROW(HIDDEN!$B$1:$B$96)-ROW(INDEX(HIDDEN!$B$1:$B$96,1,1))+1),J$2)),'1)qPCR'!$A$2:$A$97,0)),"")</f>
        <v/>
      </c>
      <c r="K76" s="32" t="str">
        <f t="array" ref="K76">IFERROR(INDEX('1)qPCR'!$E$2:$E$97,MATCH(INDEX(HIDDEN!$C$1:$C$96,SMALL(IF(HIDDEN!$B$1:$B$96=$A76&amp;";"&amp;K$1,ROW(HIDDEN!$B$1:$B$96)-ROW(INDEX(HIDDEN!$B$1:$B$96,1,1))+1),K$2)),'1)qPCR'!$A$2:$A$97,0)),"")</f>
        <v/>
      </c>
      <c r="L76" s="32" t="str">
        <f t="array" ref="L76">IFERROR(INDEX('1)qPCR'!$E$2:$E$97,MATCH(INDEX(HIDDEN!$C$1:$C$96,SMALL(IF(HIDDEN!$B$1:$B$96=$A76&amp;";"&amp;L$1,ROW(HIDDEN!$B$1:$B$96)-ROW(INDEX(HIDDEN!$B$1:$B$96,1,1))+1),L$2)),'1)qPCR'!$A$2:$A$97,0)),"")</f>
        <v/>
      </c>
      <c r="M76" s="32" t="str">
        <f t="array" ref="M76">IFERROR(INDEX('1)qPCR'!$E$2:$E$97,MATCH(INDEX(HIDDEN!$C$1:$C$96,SMALL(IF(HIDDEN!$B$1:$B$96=$A76&amp;";"&amp;M$1,ROW(HIDDEN!$B$1:$B$96)-ROW(INDEX(HIDDEN!$B$1:$B$96,1,1))+1),M$2)),'1)qPCR'!$A$2:$A$97,0)),"")</f>
        <v/>
      </c>
      <c r="N76" s="32" t="str">
        <f t="array" ref="N76">IFERROR(INDEX('1)qPCR'!$E$2:$E$97,MATCH(INDEX(HIDDEN!$C$1:$C$96,SMALL(IF(HIDDEN!$B$1:$B$96=$A76&amp;";"&amp;N$1,ROW(HIDDEN!$B$1:$B$96)-ROW(INDEX(HIDDEN!$B$1:$B$96,1,1))+1),N$2)),'1)qPCR'!$A$2:$A$97,0)),"")</f>
        <v/>
      </c>
      <c r="O76" s="32" t="str">
        <f t="array" ref="O76">IFERROR(INDEX('1)qPCR'!$E$2:$E$97,MATCH(INDEX(HIDDEN!$C$1:$C$96,SMALL(IF(HIDDEN!$B$1:$B$96=$A76&amp;";"&amp;O$1,ROW(HIDDEN!$B$1:$B$96)-ROW(INDEX(HIDDEN!$B$1:$B$96,1,1))+1),O$2)),'1)qPCR'!$A$2:$A$97,0)),"")</f>
        <v/>
      </c>
      <c r="P76" s="7" t="str">
        <f t="shared" si="61"/>
        <v/>
      </c>
      <c r="Q76" s="18" t="str">
        <f t="shared" si="56"/>
        <v/>
      </c>
      <c r="R76" s="7" t="str">
        <f t="shared" si="62"/>
        <v/>
      </c>
      <c r="S76" s="18" t="str">
        <f t="shared" si="57"/>
        <v/>
      </c>
      <c r="T76" s="10" t="str">
        <f t="shared" si="58"/>
        <v/>
      </c>
      <c r="U76" s="10" t="str">
        <f t="shared" si="63"/>
        <v/>
      </c>
      <c r="V76" s="17" t="str">
        <f t="shared" si="64"/>
        <v/>
      </c>
      <c r="W76" s="17" t="str">
        <f t="shared" si="79"/>
        <v/>
      </c>
      <c r="X76" s="17" t="str">
        <f t="shared" si="49"/>
        <v/>
      </c>
      <c r="Y76" s="17" t="str">
        <f t="shared" si="50"/>
        <v/>
      </c>
      <c r="Z76" s="17" t="str">
        <f t="shared" si="65"/>
        <v/>
      </c>
      <c r="AA76" s="17" t="str">
        <f t="shared" si="66"/>
        <v/>
      </c>
      <c r="AB76" s="17" t="str">
        <f t="shared" si="51"/>
        <v/>
      </c>
      <c r="AC76" s="17" t="str">
        <f t="shared" si="52"/>
        <v/>
      </c>
      <c r="AD76" s="17" t="str">
        <f t="shared" si="67"/>
        <v/>
      </c>
      <c r="AE76" s="17" t="str">
        <f t="shared" si="68"/>
        <v/>
      </c>
      <c r="AF76" s="17" t="str">
        <f t="shared" si="69"/>
        <v/>
      </c>
      <c r="AG76" s="17">
        <f t="shared" si="70"/>
        <v>0</v>
      </c>
      <c r="AH76" s="17">
        <f t="shared" si="71"/>
        <v>0</v>
      </c>
      <c r="AI76" s="17">
        <f t="shared" si="72"/>
        <v>0</v>
      </c>
      <c r="AJ76" s="17" t="str">
        <f>IF(AP76="","",IF(AP76&lt;=RANGES!$A$8,1,IF(AP76&lt;=RANGES!$A$9,2,IF(AP76&lt;=RANGES!$A$10,3,IF(AP76&lt;=RANGES!$A$11,4,IF(AP76&lt;=RANGES!$A$12,5,IF(AP76&lt;=RANGES!$A$13,6,IF(AP76&lt;=RANGES!$A$14,7,8))))))))</f>
        <v/>
      </c>
      <c r="AK76" s="17" t="str">
        <f ca="1">IFERROR(INDEX(RANGES!$C$7:$H$7,1,IF(AO76&lt;=INDIRECT("RANGES!C"&amp;7+AJ76),1,IF(AO76&lt;=INDIRECT("RANGES!D"&amp;7+AJ76),2,IF(AO76&lt;=INDIRECT("RANGES!E"&amp;7+AJ76),3,IF(AO76&lt;=INDIRECT("RANGES!F"&amp;7+AJ76),4,IF(AO76&lt;=INDIRECT("RANGES!G"&amp;7+AJ76),5,6)))))),"")</f>
        <v/>
      </c>
      <c r="AL76" s="17">
        <f t="shared" si="73"/>
        <v>0</v>
      </c>
      <c r="AM76" s="17" t="str">
        <f t="shared" si="74"/>
        <v/>
      </c>
      <c r="AN76" s="17" t="str">
        <f t="shared" si="80"/>
        <v/>
      </c>
      <c r="AO76" s="17" t="str">
        <f t="shared" si="81"/>
        <v/>
      </c>
      <c r="AP76" s="17" t="str">
        <f t="shared" si="75"/>
        <v/>
      </c>
      <c r="AQ76" s="17" t="str">
        <f t="shared" si="82"/>
        <v/>
      </c>
      <c r="AR76" s="17" t="str">
        <f t="shared" si="83"/>
        <v/>
      </c>
      <c r="AS76" s="17" t="str">
        <f t="shared" si="84"/>
        <v/>
      </c>
      <c r="AT76" s="7" t="str">
        <f t="shared" si="76"/>
        <v/>
      </c>
      <c r="AU76" s="10" t="str">
        <f t="shared" si="85"/>
        <v/>
      </c>
      <c r="AV76" s="7" t="str">
        <f t="shared" si="77"/>
        <v/>
      </c>
      <c r="AW76" s="21" t="str">
        <f t="shared" si="86"/>
        <v/>
      </c>
      <c r="AX76" s="21" t="str">
        <f t="shared" si="78"/>
        <v/>
      </c>
      <c r="AY76" s="7" t="str">
        <f t="shared" si="87"/>
        <v/>
      </c>
      <c r="AZ76" s="7" t="str">
        <f t="shared" si="88"/>
        <v/>
      </c>
    </row>
    <row r="77" spans="1:52" ht="13.2">
      <c r="A77" s="7" t="str">
        <f>HIDDEN!H76</f>
        <v/>
      </c>
      <c r="B77" s="7" t="str">
        <f>IFERROR(MATCH(A77,'3)PACIENTES'!$A$2:$A$97,0),"")</f>
        <v/>
      </c>
      <c r="C77" s="24" t="str">
        <f>IFERROR(INDEX('3)PACIENTES'!D$2:D$97,SAMPLES!$B77),"")</f>
        <v/>
      </c>
      <c r="D77" s="24" t="str">
        <f>IFERROR(INDEX('3)PACIENTES'!B$2:B$97,SAMPLES!$B77),"")</f>
        <v/>
      </c>
      <c r="E77" s="24" t="str">
        <f>IFERROR(INDEX('3)PACIENTES'!$C$2:$C169,SAMPLES!$B77),"")</f>
        <v/>
      </c>
      <c r="F77" s="22">
        <f>'3)PACIENTES'!$F$2</f>
        <v>44039</v>
      </c>
      <c r="G77" s="13" t="str">
        <f>IFERROR(INDEX('3)PACIENTES'!E$2:E$97,SAMPLES!$B77),"")</f>
        <v/>
      </c>
      <c r="H77" s="17" t="str">
        <f t="shared" si="59"/>
        <v/>
      </c>
      <c r="I77" s="17" t="str">
        <f t="shared" si="60"/>
        <v/>
      </c>
      <c r="J77" s="32" t="str">
        <f t="array" ref="J77">IFERROR(INDEX('1)qPCR'!$E$2:$E$97,MATCH(INDEX(HIDDEN!$C$1:$C$96,SMALL(IF(HIDDEN!$B$1:$B$96=$A77&amp;";"&amp;J$1,ROW(HIDDEN!$B$1:$B$96)-ROW(INDEX(HIDDEN!$B$1:$B$96,1,1))+1),J$2)),'1)qPCR'!$A$2:$A$97,0)),"")</f>
        <v/>
      </c>
      <c r="K77" s="32" t="str">
        <f t="array" ref="K77">IFERROR(INDEX('1)qPCR'!$E$2:$E$97,MATCH(INDEX(HIDDEN!$C$1:$C$96,SMALL(IF(HIDDEN!$B$1:$B$96=$A77&amp;";"&amp;K$1,ROW(HIDDEN!$B$1:$B$96)-ROW(INDEX(HIDDEN!$B$1:$B$96,1,1))+1),K$2)),'1)qPCR'!$A$2:$A$97,0)),"")</f>
        <v/>
      </c>
      <c r="L77" s="32" t="str">
        <f t="array" ref="L77">IFERROR(INDEX('1)qPCR'!$E$2:$E$97,MATCH(INDEX(HIDDEN!$C$1:$C$96,SMALL(IF(HIDDEN!$B$1:$B$96=$A77&amp;";"&amp;L$1,ROW(HIDDEN!$B$1:$B$96)-ROW(INDEX(HIDDEN!$B$1:$B$96,1,1))+1),L$2)),'1)qPCR'!$A$2:$A$97,0)),"")</f>
        <v/>
      </c>
      <c r="M77" s="32" t="str">
        <f t="array" ref="M77">IFERROR(INDEX('1)qPCR'!$E$2:$E$97,MATCH(INDEX(HIDDEN!$C$1:$C$96,SMALL(IF(HIDDEN!$B$1:$B$96=$A77&amp;";"&amp;M$1,ROW(HIDDEN!$B$1:$B$96)-ROW(INDEX(HIDDEN!$B$1:$B$96,1,1))+1),M$2)),'1)qPCR'!$A$2:$A$97,0)),"")</f>
        <v/>
      </c>
      <c r="N77" s="32" t="str">
        <f t="array" ref="N77">IFERROR(INDEX('1)qPCR'!$E$2:$E$97,MATCH(INDEX(HIDDEN!$C$1:$C$96,SMALL(IF(HIDDEN!$B$1:$B$96=$A77&amp;";"&amp;N$1,ROW(HIDDEN!$B$1:$B$96)-ROW(INDEX(HIDDEN!$B$1:$B$96,1,1))+1),N$2)),'1)qPCR'!$A$2:$A$97,0)),"")</f>
        <v/>
      </c>
      <c r="O77" s="32" t="str">
        <f t="array" ref="O77">IFERROR(INDEX('1)qPCR'!$E$2:$E$97,MATCH(INDEX(HIDDEN!$C$1:$C$96,SMALL(IF(HIDDEN!$B$1:$B$96=$A77&amp;";"&amp;O$1,ROW(HIDDEN!$B$1:$B$96)-ROW(INDEX(HIDDEN!$B$1:$B$96,1,1))+1),O$2)),'1)qPCR'!$A$2:$A$97,0)),"")</f>
        <v/>
      </c>
      <c r="P77" s="7" t="str">
        <f t="shared" si="61"/>
        <v/>
      </c>
      <c r="Q77" s="18" t="str">
        <f t="shared" si="56"/>
        <v/>
      </c>
      <c r="R77" s="7" t="str">
        <f t="shared" si="62"/>
        <v/>
      </c>
      <c r="S77" s="18" t="str">
        <f t="shared" si="57"/>
        <v/>
      </c>
      <c r="T77" s="10" t="str">
        <f t="shared" si="58"/>
        <v/>
      </c>
      <c r="U77" s="10" t="str">
        <f t="shared" si="63"/>
        <v/>
      </c>
      <c r="V77" s="17" t="str">
        <f t="shared" si="64"/>
        <v/>
      </c>
      <c r="W77" s="17" t="str">
        <f t="shared" si="79"/>
        <v/>
      </c>
      <c r="X77" s="17" t="str">
        <f t="shared" si="49"/>
        <v/>
      </c>
      <c r="Y77" s="17" t="str">
        <f t="shared" si="50"/>
        <v/>
      </c>
      <c r="Z77" s="17" t="str">
        <f t="shared" si="65"/>
        <v/>
      </c>
      <c r="AA77" s="17" t="str">
        <f t="shared" si="66"/>
        <v/>
      </c>
      <c r="AB77" s="17" t="str">
        <f t="shared" si="51"/>
        <v/>
      </c>
      <c r="AC77" s="17" t="str">
        <f t="shared" si="52"/>
        <v/>
      </c>
      <c r="AD77" s="17" t="str">
        <f t="shared" si="67"/>
        <v/>
      </c>
      <c r="AE77" s="17" t="str">
        <f t="shared" si="68"/>
        <v/>
      </c>
      <c r="AF77" s="17" t="str">
        <f t="shared" si="69"/>
        <v/>
      </c>
      <c r="AG77" s="17">
        <f t="shared" si="70"/>
        <v>0</v>
      </c>
      <c r="AH77" s="17">
        <f t="shared" si="71"/>
        <v>0</v>
      </c>
      <c r="AI77" s="17">
        <f t="shared" si="72"/>
        <v>0</v>
      </c>
      <c r="AJ77" s="17" t="str">
        <f>IF(AP77="","",IF(AP77&lt;=RANGES!$A$8,1,IF(AP77&lt;=RANGES!$A$9,2,IF(AP77&lt;=RANGES!$A$10,3,IF(AP77&lt;=RANGES!$A$11,4,IF(AP77&lt;=RANGES!$A$12,5,IF(AP77&lt;=RANGES!$A$13,6,IF(AP77&lt;=RANGES!$A$14,7,8))))))))</f>
        <v/>
      </c>
      <c r="AK77" s="17" t="str">
        <f ca="1">IFERROR(INDEX(RANGES!$C$7:$H$7,1,IF(AO77&lt;=INDIRECT("RANGES!C"&amp;7+AJ77),1,IF(AO77&lt;=INDIRECT("RANGES!D"&amp;7+AJ77),2,IF(AO77&lt;=INDIRECT("RANGES!E"&amp;7+AJ77),3,IF(AO77&lt;=INDIRECT("RANGES!F"&amp;7+AJ77),4,IF(AO77&lt;=INDIRECT("RANGES!G"&amp;7+AJ77),5,6)))))),"")</f>
        <v/>
      </c>
      <c r="AL77" s="17">
        <f t="shared" si="73"/>
        <v>0</v>
      </c>
      <c r="AM77" s="17" t="str">
        <f t="shared" si="74"/>
        <v/>
      </c>
      <c r="AN77" s="17" t="str">
        <f t="shared" si="80"/>
        <v/>
      </c>
      <c r="AO77" s="17" t="str">
        <f t="shared" si="81"/>
        <v/>
      </c>
      <c r="AP77" s="17" t="str">
        <f t="shared" si="75"/>
        <v/>
      </c>
      <c r="AQ77" s="17" t="str">
        <f t="shared" si="82"/>
        <v/>
      </c>
      <c r="AR77" s="17" t="str">
        <f t="shared" si="83"/>
        <v/>
      </c>
      <c r="AS77" s="17" t="str">
        <f t="shared" si="84"/>
        <v/>
      </c>
      <c r="AT77" s="7" t="str">
        <f t="shared" si="76"/>
        <v/>
      </c>
      <c r="AU77" s="10" t="str">
        <f t="shared" si="85"/>
        <v/>
      </c>
      <c r="AV77" s="7" t="str">
        <f t="shared" si="77"/>
        <v/>
      </c>
      <c r="AW77" s="21" t="str">
        <f t="shared" si="86"/>
        <v/>
      </c>
      <c r="AX77" s="21" t="str">
        <f t="shared" si="78"/>
        <v/>
      </c>
      <c r="AY77" s="7" t="str">
        <f t="shared" si="87"/>
        <v/>
      </c>
      <c r="AZ77" s="7" t="str">
        <f t="shared" si="88"/>
        <v/>
      </c>
    </row>
    <row r="78" spans="1:52" ht="13.2">
      <c r="A78" s="7" t="str">
        <f>HIDDEN!H77</f>
        <v/>
      </c>
      <c r="B78" s="7" t="str">
        <f>IFERROR(MATCH(A78,'3)PACIENTES'!$A$2:$A$97,0),"")</f>
        <v/>
      </c>
      <c r="C78" s="24" t="str">
        <f>IFERROR(INDEX('3)PACIENTES'!D$2:D$97,SAMPLES!$B78),"")</f>
        <v/>
      </c>
      <c r="D78" s="24" t="str">
        <f>IFERROR(INDEX('3)PACIENTES'!B$2:B$97,SAMPLES!$B78),"")</f>
        <v/>
      </c>
      <c r="E78" s="24" t="str">
        <f>IFERROR(INDEX('3)PACIENTES'!$C$2:$C170,SAMPLES!$B78),"")</f>
        <v/>
      </c>
      <c r="F78" s="22">
        <f>'3)PACIENTES'!$F$2</f>
        <v>44039</v>
      </c>
      <c r="G78" s="13" t="str">
        <f>IFERROR(INDEX('3)PACIENTES'!E$2:E$97,SAMPLES!$B78),"")</f>
        <v/>
      </c>
      <c r="H78" s="17" t="str">
        <f t="shared" si="59"/>
        <v/>
      </c>
      <c r="I78" s="17" t="str">
        <f t="shared" si="60"/>
        <v/>
      </c>
      <c r="J78" s="32" t="str">
        <f t="array" ref="J78">IFERROR(INDEX('1)qPCR'!$E$2:$E$97,MATCH(INDEX(HIDDEN!$C$1:$C$96,SMALL(IF(HIDDEN!$B$1:$B$96=$A78&amp;";"&amp;J$1,ROW(HIDDEN!$B$1:$B$96)-ROW(INDEX(HIDDEN!$B$1:$B$96,1,1))+1),J$2)),'1)qPCR'!$A$2:$A$97,0)),"")</f>
        <v/>
      </c>
      <c r="K78" s="32" t="str">
        <f t="array" ref="K78">IFERROR(INDEX('1)qPCR'!$E$2:$E$97,MATCH(INDEX(HIDDEN!$C$1:$C$96,SMALL(IF(HIDDEN!$B$1:$B$96=$A78&amp;";"&amp;K$1,ROW(HIDDEN!$B$1:$B$96)-ROW(INDEX(HIDDEN!$B$1:$B$96,1,1))+1),K$2)),'1)qPCR'!$A$2:$A$97,0)),"")</f>
        <v/>
      </c>
      <c r="L78" s="32" t="str">
        <f t="array" ref="L78">IFERROR(INDEX('1)qPCR'!$E$2:$E$97,MATCH(INDEX(HIDDEN!$C$1:$C$96,SMALL(IF(HIDDEN!$B$1:$B$96=$A78&amp;";"&amp;L$1,ROW(HIDDEN!$B$1:$B$96)-ROW(INDEX(HIDDEN!$B$1:$B$96,1,1))+1),L$2)),'1)qPCR'!$A$2:$A$97,0)),"")</f>
        <v/>
      </c>
      <c r="M78" s="32" t="str">
        <f t="array" ref="M78">IFERROR(INDEX('1)qPCR'!$E$2:$E$97,MATCH(INDEX(HIDDEN!$C$1:$C$96,SMALL(IF(HIDDEN!$B$1:$B$96=$A78&amp;";"&amp;M$1,ROW(HIDDEN!$B$1:$B$96)-ROW(INDEX(HIDDEN!$B$1:$B$96,1,1))+1),M$2)),'1)qPCR'!$A$2:$A$97,0)),"")</f>
        <v/>
      </c>
      <c r="N78" s="32" t="str">
        <f t="array" ref="N78">IFERROR(INDEX('1)qPCR'!$E$2:$E$97,MATCH(INDEX(HIDDEN!$C$1:$C$96,SMALL(IF(HIDDEN!$B$1:$B$96=$A78&amp;";"&amp;N$1,ROW(HIDDEN!$B$1:$B$96)-ROW(INDEX(HIDDEN!$B$1:$B$96,1,1))+1),N$2)),'1)qPCR'!$A$2:$A$97,0)),"")</f>
        <v/>
      </c>
      <c r="O78" s="32" t="str">
        <f t="array" ref="O78">IFERROR(INDEX('1)qPCR'!$E$2:$E$97,MATCH(INDEX(HIDDEN!$C$1:$C$96,SMALL(IF(HIDDEN!$B$1:$B$96=$A78&amp;";"&amp;O$1,ROW(HIDDEN!$B$1:$B$96)-ROW(INDEX(HIDDEN!$B$1:$B$96,1,1))+1),O$2)),'1)qPCR'!$A$2:$A$97,0)),"")</f>
        <v/>
      </c>
      <c r="P78" s="7" t="str">
        <f t="shared" si="61"/>
        <v/>
      </c>
      <c r="Q78" s="18" t="str">
        <f t="shared" si="56"/>
        <v/>
      </c>
      <c r="R78" s="7" t="str">
        <f t="shared" si="62"/>
        <v/>
      </c>
      <c r="S78" s="18" t="str">
        <f t="shared" si="57"/>
        <v/>
      </c>
      <c r="T78" s="10" t="str">
        <f t="shared" si="58"/>
        <v/>
      </c>
      <c r="U78" s="10" t="str">
        <f t="shared" si="63"/>
        <v/>
      </c>
      <c r="V78" s="17" t="str">
        <f t="shared" si="64"/>
        <v/>
      </c>
      <c r="W78" s="17" t="str">
        <f t="shared" si="79"/>
        <v/>
      </c>
      <c r="X78" s="17" t="str">
        <f t="shared" si="49"/>
        <v/>
      </c>
      <c r="Y78" s="17" t="str">
        <f t="shared" si="50"/>
        <v/>
      </c>
      <c r="Z78" s="17" t="str">
        <f t="shared" si="65"/>
        <v/>
      </c>
      <c r="AA78" s="17" t="str">
        <f t="shared" si="66"/>
        <v/>
      </c>
      <c r="AB78" s="17" t="str">
        <f t="shared" si="51"/>
        <v/>
      </c>
      <c r="AC78" s="17" t="str">
        <f t="shared" si="52"/>
        <v/>
      </c>
      <c r="AD78" s="17" t="str">
        <f t="shared" si="67"/>
        <v/>
      </c>
      <c r="AE78" s="17" t="str">
        <f t="shared" si="68"/>
        <v/>
      </c>
      <c r="AF78" s="17" t="str">
        <f t="shared" si="69"/>
        <v/>
      </c>
      <c r="AG78" s="17">
        <f t="shared" si="70"/>
        <v>0</v>
      </c>
      <c r="AH78" s="17">
        <f t="shared" si="71"/>
        <v>0</v>
      </c>
      <c r="AI78" s="17">
        <f t="shared" si="72"/>
        <v>0</v>
      </c>
      <c r="AJ78" s="17" t="str">
        <f>IF(AP78="","",IF(AP78&lt;=RANGES!$A$8,1,IF(AP78&lt;=RANGES!$A$9,2,IF(AP78&lt;=RANGES!$A$10,3,IF(AP78&lt;=RANGES!$A$11,4,IF(AP78&lt;=RANGES!$A$12,5,IF(AP78&lt;=RANGES!$A$13,6,IF(AP78&lt;=RANGES!$A$14,7,8))))))))</f>
        <v/>
      </c>
      <c r="AK78" s="17" t="str">
        <f ca="1">IFERROR(INDEX(RANGES!$C$7:$H$7,1,IF(AO78&lt;=INDIRECT("RANGES!C"&amp;7+AJ78),1,IF(AO78&lt;=INDIRECT("RANGES!D"&amp;7+AJ78),2,IF(AO78&lt;=INDIRECT("RANGES!E"&amp;7+AJ78),3,IF(AO78&lt;=INDIRECT("RANGES!F"&amp;7+AJ78),4,IF(AO78&lt;=INDIRECT("RANGES!G"&amp;7+AJ78),5,6)))))),"")</f>
        <v/>
      </c>
      <c r="AL78" s="17">
        <f t="shared" si="73"/>
        <v>0</v>
      </c>
      <c r="AM78" s="17" t="str">
        <f t="shared" si="74"/>
        <v/>
      </c>
      <c r="AN78" s="17" t="str">
        <f t="shared" si="80"/>
        <v/>
      </c>
      <c r="AO78" s="17" t="str">
        <f t="shared" si="81"/>
        <v/>
      </c>
      <c r="AP78" s="17" t="str">
        <f t="shared" si="75"/>
        <v/>
      </c>
      <c r="AQ78" s="17" t="str">
        <f t="shared" si="82"/>
        <v/>
      </c>
      <c r="AR78" s="17" t="str">
        <f t="shared" si="83"/>
        <v/>
      </c>
      <c r="AS78" s="17" t="str">
        <f t="shared" si="84"/>
        <v/>
      </c>
      <c r="AT78" s="7" t="str">
        <f t="shared" si="76"/>
        <v/>
      </c>
      <c r="AU78" s="10" t="str">
        <f t="shared" si="85"/>
        <v/>
      </c>
      <c r="AV78" s="7" t="str">
        <f t="shared" si="77"/>
        <v/>
      </c>
      <c r="AW78" s="21" t="str">
        <f t="shared" si="86"/>
        <v/>
      </c>
      <c r="AX78" s="21" t="str">
        <f t="shared" si="78"/>
        <v/>
      </c>
      <c r="AY78" s="7" t="str">
        <f t="shared" si="87"/>
        <v/>
      </c>
      <c r="AZ78" s="7" t="str">
        <f t="shared" si="88"/>
        <v/>
      </c>
    </row>
    <row r="79" spans="1:52" ht="13.2">
      <c r="A79" s="7" t="str">
        <f>HIDDEN!H78</f>
        <v/>
      </c>
      <c r="B79" s="7" t="str">
        <f>IFERROR(MATCH(A79,'3)PACIENTES'!$A$2:$A$97,0),"")</f>
        <v/>
      </c>
      <c r="C79" s="24" t="str">
        <f>IFERROR(INDEX('3)PACIENTES'!D$2:D$97,SAMPLES!$B79),"")</f>
        <v/>
      </c>
      <c r="D79" s="24" t="str">
        <f>IFERROR(INDEX('3)PACIENTES'!B$2:B$97,SAMPLES!$B79),"")</f>
        <v/>
      </c>
      <c r="E79" s="24" t="str">
        <f>IFERROR(INDEX('3)PACIENTES'!$C$2:$C171,SAMPLES!$B79),"")</f>
        <v/>
      </c>
      <c r="F79" s="22">
        <f>'3)PACIENTES'!$F$2</f>
        <v>44039</v>
      </c>
      <c r="G79" s="13" t="str">
        <f>IFERROR(INDEX('3)PACIENTES'!E$2:E$97,SAMPLES!$B79),"")</f>
        <v/>
      </c>
      <c r="H79" s="17" t="str">
        <f t="shared" si="59"/>
        <v/>
      </c>
      <c r="I79" s="17" t="str">
        <f t="shared" si="60"/>
        <v/>
      </c>
      <c r="J79" s="32" t="str">
        <f t="array" ref="J79">IFERROR(INDEX('1)qPCR'!$E$2:$E$97,MATCH(INDEX(HIDDEN!$C$1:$C$96,SMALL(IF(HIDDEN!$B$1:$B$96=$A79&amp;";"&amp;J$1,ROW(HIDDEN!$B$1:$B$96)-ROW(INDEX(HIDDEN!$B$1:$B$96,1,1))+1),J$2)),'1)qPCR'!$A$2:$A$97,0)),"")</f>
        <v/>
      </c>
      <c r="K79" s="32" t="str">
        <f t="array" ref="K79">IFERROR(INDEX('1)qPCR'!$E$2:$E$97,MATCH(INDEX(HIDDEN!$C$1:$C$96,SMALL(IF(HIDDEN!$B$1:$B$96=$A79&amp;";"&amp;K$1,ROW(HIDDEN!$B$1:$B$96)-ROW(INDEX(HIDDEN!$B$1:$B$96,1,1))+1),K$2)),'1)qPCR'!$A$2:$A$97,0)),"")</f>
        <v/>
      </c>
      <c r="L79" s="32" t="str">
        <f t="array" ref="L79">IFERROR(INDEX('1)qPCR'!$E$2:$E$97,MATCH(INDEX(HIDDEN!$C$1:$C$96,SMALL(IF(HIDDEN!$B$1:$B$96=$A79&amp;";"&amp;L$1,ROW(HIDDEN!$B$1:$B$96)-ROW(INDEX(HIDDEN!$B$1:$B$96,1,1))+1),L$2)),'1)qPCR'!$A$2:$A$97,0)),"")</f>
        <v/>
      </c>
      <c r="M79" s="32" t="str">
        <f t="array" ref="M79">IFERROR(INDEX('1)qPCR'!$E$2:$E$97,MATCH(INDEX(HIDDEN!$C$1:$C$96,SMALL(IF(HIDDEN!$B$1:$B$96=$A79&amp;";"&amp;M$1,ROW(HIDDEN!$B$1:$B$96)-ROW(INDEX(HIDDEN!$B$1:$B$96,1,1))+1),M$2)),'1)qPCR'!$A$2:$A$97,0)),"")</f>
        <v/>
      </c>
      <c r="N79" s="32" t="str">
        <f t="array" ref="N79">IFERROR(INDEX('1)qPCR'!$E$2:$E$97,MATCH(INDEX(HIDDEN!$C$1:$C$96,SMALL(IF(HIDDEN!$B$1:$B$96=$A79&amp;";"&amp;N$1,ROW(HIDDEN!$B$1:$B$96)-ROW(INDEX(HIDDEN!$B$1:$B$96,1,1))+1),N$2)),'1)qPCR'!$A$2:$A$97,0)),"")</f>
        <v/>
      </c>
      <c r="O79" s="32" t="str">
        <f t="array" ref="O79">IFERROR(INDEX('1)qPCR'!$E$2:$E$97,MATCH(INDEX(HIDDEN!$C$1:$C$96,SMALL(IF(HIDDEN!$B$1:$B$96=$A79&amp;";"&amp;O$1,ROW(HIDDEN!$B$1:$B$96)-ROW(INDEX(HIDDEN!$B$1:$B$96,1,1))+1),O$2)),'1)qPCR'!$A$2:$A$97,0)),"")</f>
        <v/>
      </c>
      <c r="P79" s="7" t="str">
        <f t="shared" si="61"/>
        <v/>
      </c>
      <c r="Q79" s="18" t="str">
        <f t="shared" si="56"/>
        <v/>
      </c>
      <c r="R79" s="7" t="str">
        <f t="shared" si="62"/>
        <v/>
      </c>
      <c r="S79" s="18" t="str">
        <f t="shared" si="57"/>
        <v/>
      </c>
      <c r="T79" s="10" t="str">
        <f t="shared" si="58"/>
        <v/>
      </c>
      <c r="U79" s="10" t="str">
        <f t="shared" si="63"/>
        <v/>
      </c>
      <c r="V79" s="17" t="str">
        <f t="shared" si="64"/>
        <v/>
      </c>
      <c r="W79" s="17" t="str">
        <f t="shared" si="79"/>
        <v/>
      </c>
      <c r="X79" s="17" t="str">
        <f t="shared" si="49"/>
        <v/>
      </c>
      <c r="Y79" s="17" t="str">
        <f t="shared" si="50"/>
        <v/>
      </c>
      <c r="Z79" s="17" t="str">
        <f t="shared" si="65"/>
        <v/>
      </c>
      <c r="AA79" s="17" t="str">
        <f t="shared" si="66"/>
        <v/>
      </c>
      <c r="AB79" s="17" t="str">
        <f t="shared" si="51"/>
        <v/>
      </c>
      <c r="AC79" s="17" t="str">
        <f t="shared" si="52"/>
        <v/>
      </c>
      <c r="AD79" s="17" t="str">
        <f t="shared" si="67"/>
        <v/>
      </c>
      <c r="AE79" s="17" t="str">
        <f t="shared" si="68"/>
        <v/>
      </c>
      <c r="AF79" s="17" t="str">
        <f t="shared" si="69"/>
        <v/>
      </c>
      <c r="AG79" s="17">
        <f t="shared" si="70"/>
        <v>0</v>
      </c>
      <c r="AH79" s="17">
        <f t="shared" si="71"/>
        <v>0</v>
      </c>
      <c r="AI79" s="17">
        <f t="shared" si="72"/>
        <v>0</v>
      </c>
      <c r="AJ79" s="17" t="str">
        <f>IF(AP79="","",IF(AP79&lt;=RANGES!$A$8,1,IF(AP79&lt;=RANGES!$A$9,2,IF(AP79&lt;=RANGES!$A$10,3,IF(AP79&lt;=RANGES!$A$11,4,IF(AP79&lt;=RANGES!$A$12,5,IF(AP79&lt;=RANGES!$A$13,6,IF(AP79&lt;=RANGES!$A$14,7,8))))))))</f>
        <v/>
      </c>
      <c r="AK79" s="17" t="str">
        <f ca="1">IFERROR(INDEX(RANGES!$C$7:$H$7,1,IF(AO79&lt;=INDIRECT("RANGES!C"&amp;7+AJ79),1,IF(AO79&lt;=INDIRECT("RANGES!D"&amp;7+AJ79),2,IF(AO79&lt;=INDIRECT("RANGES!E"&amp;7+AJ79),3,IF(AO79&lt;=INDIRECT("RANGES!F"&amp;7+AJ79),4,IF(AO79&lt;=INDIRECT("RANGES!G"&amp;7+AJ79),5,6)))))),"")</f>
        <v/>
      </c>
      <c r="AL79" s="17">
        <f t="shared" si="73"/>
        <v>0</v>
      </c>
      <c r="AM79" s="17" t="str">
        <f t="shared" si="74"/>
        <v/>
      </c>
      <c r="AN79" s="17" t="str">
        <f t="shared" si="80"/>
        <v/>
      </c>
      <c r="AO79" s="17" t="str">
        <f t="shared" si="81"/>
        <v/>
      </c>
      <c r="AP79" s="17" t="str">
        <f t="shared" si="75"/>
        <v/>
      </c>
      <c r="AQ79" s="17" t="str">
        <f t="shared" si="82"/>
        <v/>
      </c>
      <c r="AR79" s="17" t="str">
        <f t="shared" si="83"/>
        <v/>
      </c>
      <c r="AS79" s="17" t="str">
        <f t="shared" si="84"/>
        <v/>
      </c>
      <c r="AT79" s="7" t="str">
        <f t="shared" si="76"/>
        <v/>
      </c>
      <c r="AU79" s="10" t="str">
        <f t="shared" si="85"/>
        <v/>
      </c>
      <c r="AV79" s="7" t="str">
        <f t="shared" si="77"/>
        <v/>
      </c>
      <c r="AW79" s="21" t="str">
        <f t="shared" si="86"/>
        <v/>
      </c>
      <c r="AX79" s="21" t="str">
        <f t="shared" si="78"/>
        <v/>
      </c>
      <c r="AY79" s="7" t="str">
        <f t="shared" si="87"/>
        <v/>
      </c>
      <c r="AZ79" s="7" t="str">
        <f t="shared" si="88"/>
        <v/>
      </c>
    </row>
    <row r="80" spans="1:52" ht="13.2">
      <c r="A80" s="7" t="str">
        <f>HIDDEN!H79</f>
        <v/>
      </c>
      <c r="B80" s="7" t="str">
        <f>IFERROR(MATCH(A80,'3)PACIENTES'!$A$2:$A$97,0),"")</f>
        <v/>
      </c>
      <c r="C80" s="24" t="str">
        <f>IFERROR(INDEX('3)PACIENTES'!D$2:D$97,SAMPLES!$B80),"")</f>
        <v/>
      </c>
      <c r="D80" s="24" t="str">
        <f>IFERROR(INDEX('3)PACIENTES'!B$2:B$97,SAMPLES!$B80),"")</f>
        <v/>
      </c>
      <c r="E80" s="24" t="str">
        <f>IFERROR(INDEX('3)PACIENTES'!$C$2:$C172,SAMPLES!$B80),"")</f>
        <v/>
      </c>
      <c r="F80" s="22">
        <f>'3)PACIENTES'!$F$2</f>
        <v>44039</v>
      </c>
      <c r="G80" s="13" t="str">
        <f>IFERROR(INDEX('3)PACIENTES'!E$2:E$97,SAMPLES!$B80),"")</f>
        <v/>
      </c>
      <c r="H80" s="17" t="str">
        <f t="shared" si="59"/>
        <v/>
      </c>
      <c r="I80" s="17" t="str">
        <f t="shared" si="60"/>
        <v/>
      </c>
      <c r="J80" s="32" t="str">
        <f t="array" ref="J80">IFERROR(INDEX('1)qPCR'!$E$2:$E$97,MATCH(INDEX(HIDDEN!$C$1:$C$96,SMALL(IF(HIDDEN!$B$1:$B$96=$A80&amp;";"&amp;J$1,ROW(HIDDEN!$B$1:$B$96)-ROW(INDEX(HIDDEN!$B$1:$B$96,1,1))+1),J$2)),'1)qPCR'!$A$2:$A$97,0)),"")</f>
        <v/>
      </c>
      <c r="K80" s="32" t="str">
        <f t="array" ref="K80">IFERROR(INDEX('1)qPCR'!$E$2:$E$97,MATCH(INDEX(HIDDEN!$C$1:$C$96,SMALL(IF(HIDDEN!$B$1:$B$96=$A80&amp;";"&amp;K$1,ROW(HIDDEN!$B$1:$B$96)-ROW(INDEX(HIDDEN!$B$1:$B$96,1,1))+1),K$2)),'1)qPCR'!$A$2:$A$97,0)),"")</f>
        <v/>
      </c>
      <c r="L80" s="32" t="str">
        <f t="array" ref="L80">IFERROR(INDEX('1)qPCR'!$E$2:$E$97,MATCH(INDEX(HIDDEN!$C$1:$C$96,SMALL(IF(HIDDEN!$B$1:$B$96=$A80&amp;";"&amp;L$1,ROW(HIDDEN!$B$1:$B$96)-ROW(INDEX(HIDDEN!$B$1:$B$96,1,1))+1),L$2)),'1)qPCR'!$A$2:$A$97,0)),"")</f>
        <v/>
      </c>
      <c r="M80" s="32" t="str">
        <f t="array" ref="M80">IFERROR(INDEX('1)qPCR'!$E$2:$E$97,MATCH(INDEX(HIDDEN!$C$1:$C$96,SMALL(IF(HIDDEN!$B$1:$B$96=$A80&amp;";"&amp;M$1,ROW(HIDDEN!$B$1:$B$96)-ROW(INDEX(HIDDEN!$B$1:$B$96,1,1))+1),M$2)),'1)qPCR'!$A$2:$A$97,0)),"")</f>
        <v/>
      </c>
      <c r="N80" s="32" t="str">
        <f t="array" ref="N80">IFERROR(INDEX('1)qPCR'!$E$2:$E$97,MATCH(INDEX(HIDDEN!$C$1:$C$96,SMALL(IF(HIDDEN!$B$1:$B$96=$A80&amp;";"&amp;N$1,ROW(HIDDEN!$B$1:$B$96)-ROW(INDEX(HIDDEN!$B$1:$B$96,1,1))+1),N$2)),'1)qPCR'!$A$2:$A$97,0)),"")</f>
        <v/>
      </c>
      <c r="O80" s="32" t="str">
        <f t="array" ref="O80">IFERROR(INDEX('1)qPCR'!$E$2:$E$97,MATCH(INDEX(HIDDEN!$C$1:$C$96,SMALL(IF(HIDDEN!$B$1:$B$96=$A80&amp;";"&amp;O$1,ROW(HIDDEN!$B$1:$B$96)-ROW(INDEX(HIDDEN!$B$1:$B$96,1,1))+1),O$2)),'1)qPCR'!$A$2:$A$97,0)),"")</f>
        <v/>
      </c>
      <c r="P80" s="7" t="str">
        <f t="shared" si="61"/>
        <v/>
      </c>
      <c r="Q80" s="18" t="str">
        <f t="shared" si="56"/>
        <v/>
      </c>
      <c r="R80" s="7" t="str">
        <f t="shared" si="62"/>
        <v/>
      </c>
      <c r="S80" s="18" t="str">
        <f t="shared" si="57"/>
        <v/>
      </c>
      <c r="T80" s="10" t="str">
        <f t="shared" si="58"/>
        <v/>
      </c>
      <c r="U80" s="10" t="str">
        <f t="shared" si="63"/>
        <v/>
      </c>
      <c r="V80" s="17" t="str">
        <f t="shared" si="64"/>
        <v/>
      </c>
      <c r="W80" s="17" t="str">
        <f t="shared" si="79"/>
        <v/>
      </c>
      <c r="X80" s="17" t="str">
        <f t="shared" si="49"/>
        <v/>
      </c>
      <c r="Y80" s="17" t="str">
        <f t="shared" si="50"/>
        <v/>
      </c>
      <c r="Z80" s="17" t="str">
        <f t="shared" si="65"/>
        <v/>
      </c>
      <c r="AA80" s="17" t="str">
        <f t="shared" si="66"/>
        <v/>
      </c>
      <c r="AB80" s="17" t="str">
        <f t="shared" si="51"/>
        <v/>
      </c>
      <c r="AC80" s="17" t="str">
        <f t="shared" si="52"/>
        <v/>
      </c>
      <c r="AD80" s="17" t="str">
        <f t="shared" si="67"/>
        <v/>
      </c>
      <c r="AE80" s="17" t="str">
        <f t="shared" si="68"/>
        <v/>
      </c>
      <c r="AF80" s="17" t="str">
        <f t="shared" si="69"/>
        <v/>
      </c>
      <c r="AG80" s="17">
        <f t="shared" si="70"/>
        <v>0</v>
      </c>
      <c r="AH80" s="17">
        <f t="shared" si="71"/>
        <v>0</v>
      </c>
      <c r="AI80" s="17">
        <f t="shared" si="72"/>
        <v>0</v>
      </c>
      <c r="AJ80" s="17" t="str">
        <f>IF(AP80="","",IF(AP80&lt;=RANGES!$A$8,1,IF(AP80&lt;=RANGES!$A$9,2,IF(AP80&lt;=RANGES!$A$10,3,IF(AP80&lt;=RANGES!$A$11,4,IF(AP80&lt;=RANGES!$A$12,5,IF(AP80&lt;=RANGES!$A$13,6,IF(AP80&lt;=RANGES!$A$14,7,8))))))))</f>
        <v/>
      </c>
      <c r="AK80" s="17" t="str">
        <f ca="1">IFERROR(INDEX(RANGES!$C$7:$H$7,1,IF(AO80&lt;=INDIRECT("RANGES!C"&amp;7+AJ80),1,IF(AO80&lt;=INDIRECT("RANGES!D"&amp;7+AJ80),2,IF(AO80&lt;=INDIRECT("RANGES!E"&amp;7+AJ80),3,IF(AO80&lt;=INDIRECT("RANGES!F"&amp;7+AJ80),4,IF(AO80&lt;=INDIRECT("RANGES!G"&amp;7+AJ80),5,6)))))),"")</f>
        <v/>
      </c>
      <c r="AL80" s="17">
        <f t="shared" si="73"/>
        <v>0</v>
      </c>
      <c r="AM80" s="17" t="str">
        <f t="shared" si="74"/>
        <v/>
      </c>
      <c r="AN80" s="17" t="str">
        <f t="shared" si="80"/>
        <v/>
      </c>
      <c r="AO80" s="17" t="str">
        <f t="shared" si="81"/>
        <v/>
      </c>
      <c r="AP80" s="17" t="str">
        <f t="shared" si="75"/>
        <v/>
      </c>
      <c r="AQ80" s="17" t="str">
        <f t="shared" si="82"/>
        <v/>
      </c>
      <c r="AR80" s="17" t="str">
        <f t="shared" si="83"/>
        <v/>
      </c>
      <c r="AS80" s="17" t="str">
        <f t="shared" si="84"/>
        <v/>
      </c>
      <c r="AT80" s="7" t="str">
        <f t="shared" si="76"/>
        <v/>
      </c>
      <c r="AU80" s="10" t="str">
        <f t="shared" si="85"/>
        <v/>
      </c>
      <c r="AV80" s="7" t="str">
        <f t="shared" si="77"/>
        <v/>
      </c>
      <c r="AW80" s="21" t="str">
        <f t="shared" si="86"/>
        <v/>
      </c>
      <c r="AX80" s="21" t="str">
        <f t="shared" si="78"/>
        <v/>
      </c>
      <c r="AY80" s="7" t="str">
        <f t="shared" si="87"/>
        <v/>
      </c>
      <c r="AZ80" s="7" t="str">
        <f t="shared" si="88"/>
        <v/>
      </c>
    </row>
    <row r="81" spans="1:52" ht="13.2">
      <c r="A81" s="7" t="str">
        <f>HIDDEN!H80</f>
        <v/>
      </c>
      <c r="B81" s="7" t="str">
        <f>IFERROR(MATCH(A81,'3)PACIENTES'!$A$2:$A$97,0),"")</f>
        <v/>
      </c>
      <c r="C81" s="24" t="str">
        <f>IFERROR(INDEX('3)PACIENTES'!D$2:D$97,SAMPLES!$B81),"")</f>
        <v/>
      </c>
      <c r="D81" s="24" t="str">
        <f>IFERROR(INDEX('3)PACIENTES'!B$2:B$97,SAMPLES!$B81),"")</f>
        <v/>
      </c>
      <c r="E81" s="24" t="str">
        <f>IFERROR(INDEX('3)PACIENTES'!$C$2:$C173,SAMPLES!$B81),"")</f>
        <v/>
      </c>
      <c r="F81" s="22">
        <f>'3)PACIENTES'!$F$2</f>
        <v>44039</v>
      </c>
      <c r="G81" s="13" t="str">
        <f>IFERROR(INDEX('3)PACIENTES'!E$2:E$97,SAMPLES!$B81),"")</f>
        <v/>
      </c>
      <c r="H81" s="17" t="str">
        <f t="shared" si="59"/>
        <v/>
      </c>
      <c r="I81" s="17" t="str">
        <f t="shared" si="60"/>
        <v/>
      </c>
      <c r="J81" s="32" t="str">
        <f t="array" ref="J81">IFERROR(INDEX('1)qPCR'!$E$2:$E$97,MATCH(INDEX(HIDDEN!$C$1:$C$96,SMALL(IF(HIDDEN!$B$1:$B$96=$A81&amp;";"&amp;J$1,ROW(HIDDEN!$B$1:$B$96)-ROW(INDEX(HIDDEN!$B$1:$B$96,1,1))+1),J$2)),'1)qPCR'!$A$2:$A$97,0)),"")</f>
        <v/>
      </c>
      <c r="K81" s="32" t="str">
        <f t="array" ref="K81">IFERROR(INDEX('1)qPCR'!$E$2:$E$97,MATCH(INDEX(HIDDEN!$C$1:$C$96,SMALL(IF(HIDDEN!$B$1:$B$96=$A81&amp;";"&amp;K$1,ROW(HIDDEN!$B$1:$B$96)-ROW(INDEX(HIDDEN!$B$1:$B$96,1,1))+1),K$2)),'1)qPCR'!$A$2:$A$97,0)),"")</f>
        <v/>
      </c>
      <c r="L81" s="32" t="str">
        <f t="array" ref="L81">IFERROR(INDEX('1)qPCR'!$E$2:$E$97,MATCH(INDEX(HIDDEN!$C$1:$C$96,SMALL(IF(HIDDEN!$B$1:$B$96=$A81&amp;";"&amp;L$1,ROW(HIDDEN!$B$1:$B$96)-ROW(INDEX(HIDDEN!$B$1:$B$96,1,1))+1),L$2)),'1)qPCR'!$A$2:$A$97,0)),"")</f>
        <v/>
      </c>
      <c r="M81" s="32" t="str">
        <f t="array" ref="M81">IFERROR(INDEX('1)qPCR'!$E$2:$E$97,MATCH(INDEX(HIDDEN!$C$1:$C$96,SMALL(IF(HIDDEN!$B$1:$B$96=$A81&amp;";"&amp;M$1,ROW(HIDDEN!$B$1:$B$96)-ROW(INDEX(HIDDEN!$B$1:$B$96,1,1))+1),M$2)),'1)qPCR'!$A$2:$A$97,0)),"")</f>
        <v/>
      </c>
      <c r="N81" s="32" t="str">
        <f t="array" ref="N81">IFERROR(INDEX('1)qPCR'!$E$2:$E$97,MATCH(INDEX(HIDDEN!$C$1:$C$96,SMALL(IF(HIDDEN!$B$1:$B$96=$A81&amp;";"&amp;N$1,ROW(HIDDEN!$B$1:$B$96)-ROW(INDEX(HIDDEN!$B$1:$B$96,1,1))+1),N$2)),'1)qPCR'!$A$2:$A$97,0)),"")</f>
        <v/>
      </c>
      <c r="O81" s="32" t="str">
        <f t="array" ref="O81">IFERROR(INDEX('1)qPCR'!$E$2:$E$97,MATCH(INDEX(HIDDEN!$C$1:$C$96,SMALL(IF(HIDDEN!$B$1:$B$96=$A81&amp;";"&amp;O$1,ROW(HIDDEN!$B$1:$B$96)-ROW(INDEX(HIDDEN!$B$1:$B$96,1,1))+1),O$2)),'1)qPCR'!$A$2:$A$97,0)),"")</f>
        <v/>
      </c>
      <c r="P81" s="7" t="str">
        <f t="shared" si="61"/>
        <v/>
      </c>
      <c r="Q81" s="18" t="str">
        <f t="shared" si="56"/>
        <v/>
      </c>
      <c r="R81" s="7" t="str">
        <f t="shared" si="62"/>
        <v/>
      </c>
      <c r="S81" s="18" t="str">
        <f t="shared" si="57"/>
        <v/>
      </c>
      <c r="T81" s="10" t="str">
        <f t="shared" si="58"/>
        <v/>
      </c>
      <c r="U81" s="10" t="str">
        <f t="shared" si="63"/>
        <v/>
      </c>
      <c r="V81" s="17" t="str">
        <f t="shared" si="64"/>
        <v/>
      </c>
      <c r="W81" s="17" t="str">
        <f t="shared" si="79"/>
        <v/>
      </c>
      <c r="X81" s="17" t="str">
        <f t="shared" si="49"/>
        <v/>
      </c>
      <c r="Y81" s="17" t="str">
        <f t="shared" si="50"/>
        <v/>
      </c>
      <c r="Z81" s="17" t="str">
        <f t="shared" si="65"/>
        <v/>
      </c>
      <c r="AA81" s="17" t="str">
        <f t="shared" si="66"/>
        <v/>
      </c>
      <c r="AB81" s="17" t="str">
        <f t="shared" si="51"/>
        <v/>
      </c>
      <c r="AC81" s="17" t="str">
        <f t="shared" si="52"/>
        <v/>
      </c>
      <c r="AD81" s="17" t="str">
        <f t="shared" si="67"/>
        <v/>
      </c>
      <c r="AE81" s="17" t="str">
        <f t="shared" si="68"/>
        <v/>
      </c>
      <c r="AF81" s="17" t="str">
        <f t="shared" si="69"/>
        <v/>
      </c>
      <c r="AG81" s="17">
        <f t="shared" si="70"/>
        <v>0</v>
      </c>
      <c r="AH81" s="17">
        <f t="shared" si="71"/>
        <v>0</v>
      </c>
      <c r="AI81" s="17">
        <f t="shared" si="72"/>
        <v>0</v>
      </c>
      <c r="AJ81" s="17" t="str">
        <f>IF(AP81="","",IF(AP81&lt;=RANGES!$A$8,1,IF(AP81&lt;=RANGES!$A$9,2,IF(AP81&lt;=RANGES!$A$10,3,IF(AP81&lt;=RANGES!$A$11,4,IF(AP81&lt;=RANGES!$A$12,5,IF(AP81&lt;=RANGES!$A$13,6,IF(AP81&lt;=RANGES!$A$14,7,8))))))))</f>
        <v/>
      </c>
      <c r="AK81" s="17" t="str">
        <f ca="1">IFERROR(INDEX(RANGES!$C$7:$H$7,1,IF(AO81&lt;=INDIRECT("RANGES!C"&amp;7+AJ81),1,IF(AO81&lt;=INDIRECT("RANGES!D"&amp;7+AJ81),2,IF(AO81&lt;=INDIRECT("RANGES!E"&amp;7+AJ81),3,IF(AO81&lt;=INDIRECT("RANGES!F"&amp;7+AJ81),4,IF(AO81&lt;=INDIRECT("RANGES!G"&amp;7+AJ81),5,6)))))),"")</f>
        <v/>
      </c>
      <c r="AL81" s="17">
        <f t="shared" si="73"/>
        <v>0</v>
      </c>
      <c r="AM81" s="17" t="str">
        <f t="shared" si="74"/>
        <v/>
      </c>
      <c r="AN81" s="17" t="str">
        <f t="shared" si="80"/>
        <v/>
      </c>
      <c r="AO81" s="17" t="str">
        <f t="shared" si="81"/>
        <v/>
      </c>
      <c r="AP81" s="17" t="str">
        <f t="shared" si="75"/>
        <v/>
      </c>
      <c r="AQ81" s="17" t="str">
        <f t="shared" si="82"/>
        <v/>
      </c>
      <c r="AR81" s="17" t="str">
        <f t="shared" si="83"/>
        <v/>
      </c>
      <c r="AS81" s="17" t="str">
        <f t="shared" si="84"/>
        <v/>
      </c>
      <c r="AT81" s="7" t="str">
        <f t="shared" si="76"/>
        <v/>
      </c>
      <c r="AU81" s="10" t="str">
        <f t="shared" si="85"/>
        <v/>
      </c>
      <c r="AV81" s="7" t="str">
        <f t="shared" si="77"/>
        <v/>
      </c>
      <c r="AW81" s="21" t="str">
        <f t="shared" si="86"/>
        <v/>
      </c>
      <c r="AX81" s="21" t="str">
        <f t="shared" si="78"/>
        <v/>
      </c>
      <c r="AY81" s="7" t="str">
        <f t="shared" si="87"/>
        <v/>
      </c>
      <c r="AZ81" s="7" t="str">
        <f t="shared" si="88"/>
        <v/>
      </c>
    </row>
    <row r="82" spans="1:52" ht="13.2">
      <c r="A82" s="7" t="str">
        <f>HIDDEN!H81</f>
        <v/>
      </c>
      <c r="B82" s="7" t="str">
        <f>IFERROR(MATCH(A82,'3)PACIENTES'!$A$2:$A$97,0),"")</f>
        <v/>
      </c>
      <c r="C82" s="24" t="str">
        <f>IFERROR(INDEX('3)PACIENTES'!D$2:D$97,SAMPLES!$B82),"")</f>
        <v/>
      </c>
      <c r="D82" s="24" t="str">
        <f>IFERROR(INDEX('3)PACIENTES'!B$2:B$97,SAMPLES!$B82),"")</f>
        <v/>
      </c>
      <c r="E82" s="24" t="str">
        <f>IFERROR(INDEX('3)PACIENTES'!$C$2:$C174,SAMPLES!$B82),"")</f>
        <v/>
      </c>
      <c r="F82" s="22">
        <f>'3)PACIENTES'!$F$2</f>
        <v>44039</v>
      </c>
      <c r="G82" s="13" t="str">
        <f>IFERROR(INDEX('3)PACIENTES'!E$2:E$97,SAMPLES!$B82),"")</f>
        <v/>
      </c>
      <c r="H82" s="17" t="str">
        <f t="shared" si="59"/>
        <v/>
      </c>
      <c r="I82" s="17" t="str">
        <f t="shared" si="60"/>
        <v/>
      </c>
      <c r="J82" s="32" t="str">
        <f t="array" ref="J82">IFERROR(INDEX('1)qPCR'!$E$2:$E$97,MATCH(INDEX(HIDDEN!$C$1:$C$96,SMALL(IF(HIDDEN!$B$1:$B$96=$A82&amp;";"&amp;J$1,ROW(HIDDEN!$B$1:$B$96)-ROW(INDEX(HIDDEN!$B$1:$B$96,1,1))+1),J$2)),'1)qPCR'!$A$2:$A$97,0)),"")</f>
        <v/>
      </c>
      <c r="K82" s="32" t="str">
        <f t="array" ref="K82">IFERROR(INDEX('1)qPCR'!$E$2:$E$97,MATCH(INDEX(HIDDEN!$C$1:$C$96,SMALL(IF(HIDDEN!$B$1:$B$96=$A82&amp;";"&amp;K$1,ROW(HIDDEN!$B$1:$B$96)-ROW(INDEX(HIDDEN!$B$1:$B$96,1,1))+1),K$2)),'1)qPCR'!$A$2:$A$97,0)),"")</f>
        <v/>
      </c>
      <c r="L82" s="32" t="str">
        <f t="array" ref="L82">IFERROR(INDEX('1)qPCR'!$E$2:$E$97,MATCH(INDEX(HIDDEN!$C$1:$C$96,SMALL(IF(HIDDEN!$B$1:$B$96=$A82&amp;";"&amp;L$1,ROW(HIDDEN!$B$1:$B$96)-ROW(INDEX(HIDDEN!$B$1:$B$96,1,1))+1),L$2)),'1)qPCR'!$A$2:$A$97,0)),"")</f>
        <v/>
      </c>
      <c r="M82" s="32" t="str">
        <f t="array" ref="M82">IFERROR(INDEX('1)qPCR'!$E$2:$E$97,MATCH(INDEX(HIDDEN!$C$1:$C$96,SMALL(IF(HIDDEN!$B$1:$B$96=$A82&amp;";"&amp;M$1,ROW(HIDDEN!$B$1:$B$96)-ROW(INDEX(HIDDEN!$B$1:$B$96,1,1))+1),M$2)),'1)qPCR'!$A$2:$A$97,0)),"")</f>
        <v/>
      </c>
      <c r="N82" s="32" t="str">
        <f t="array" ref="N82">IFERROR(INDEX('1)qPCR'!$E$2:$E$97,MATCH(INDEX(HIDDEN!$C$1:$C$96,SMALL(IF(HIDDEN!$B$1:$B$96=$A82&amp;";"&amp;N$1,ROW(HIDDEN!$B$1:$B$96)-ROW(INDEX(HIDDEN!$B$1:$B$96,1,1))+1),N$2)),'1)qPCR'!$A$2:$A$97,0)),"")</f>
        <v/>
      </c>
      <c r="O82" s="32" t="str">
        <f t="array" ref="O82">IFERROR(INDEX('1)qPCR'!$E$2:$E$97,MATCH(INDEX(HIDDEN!$C$1:$C$96,SMALL(IF(HIDDEN!$B$1:$B$96=$A82&amp;";"&amp;O$1,ROW(HIDDEN!$B$1:$B$96)-ROW(INDEX(HIDDEN!$B$1:$B$96,1,1))+1),O$2)),'1)qPCR'!$A$2:$A$97,0)),"")</f>
        <v/>
      </c>
      <c r="P82" s="7" t="str">
        <f t="shared" si="61"/>
        <v/>
      </c>
      <c r="Q82" s="18" t="str">
        <f t="shared" si="56"/>
        <v/>
      </c>
      <c r="R82" s="7" t="str">
        <f t="shared" si="62"/>
        <v/>
      </c>
      <c r="S82" s="18" t="str">
        <f t="shared" si="57"/>
        <v/>
      </c>
      <c r="T82" s="10" t="str">
        <f t="shared" si="58"/>
        <v/>
      </c>
      <c r="U82" s="10" t="str">
        <f t="shared" si="63"/>
        <v/>
      </c>
      <c r="V82" s="17" t="str">
        <f t="shared" si="64"/>
        <v/>
      </c>
      <c r="W82" s="17" t="str">
        <f t="shared" si="79"/>
        <v/>
      </c>
      <c r="X82" s="17" t="str">
        <f t="shared" si="49"/>
        <v/>
      </c>
      <c r="Y82" s="17" t="str">
        <f t="shared" si="50"/>
        <v/>
      </c>
      <c r="Z82" s="17" t="str">
        <f t="shared" si="65"/>
        <v/>
      </c>
      <c r="AA82" s="17" t="str">
        <f t="shared" si="66"/>
        <v/>
      </c>
      <c r="AB82" s="17" t="str">
        <f t="shared" si="51"/>
        <v/>
      </c>
      <c r="AC82" s="17" t="str">
        <f t="shared" si="52"/>
        <v/>
      </c>
      <c r="AD82" s="17" t="str">
        <f t="shared" si="67"/>
        <v/>
      </c>
      <c r="AE82" s="17" t="str">
        <f t="shared" si="68"/>
        <v/>
      </c>
      <c r="AF82" s="17" t="str">
        <f t="shared" si="69"/>
        <v/>
      </c>
      <c r="AG82" s="17">
        <f t="shared" si="70"/>
        <v>0</v>
      </c>
      <c r="AH82" s="17">
        <f t="shared" si="71"/>
        <v>0</v>
      </c>
      <c r="AI82" s="17">
        <f t="shared" si="72"/>
        <v>0</v>
      </c>
      <c r="AJ82" s="17" t="str">
        <f>IF(AP82="","",IF(AP82&lt;=RANGES!$A$8,1,IF(AP82&lt;=RANGES!$A$9,2,IF(AP82&lt;=RANGES!$A$10,3,IF(AP82&lt;=RANGES!$A$11,4,IF(AP82&lt;=RANGES!$A$12,5,IF(AP82&lt;=RANGES!$A$13,6,IF(AP82&lt;=RANGES!$A$14,7,8))))))))</f>
        <v/>
      </c>
      <c r="AK82" s="17" t="str">
        <f ca="1">IFERROR(INDEX(RANGES!$C$7:$H$7,1,IF(AO82&lt;=INDIRECT("RANGES!C"&amp;7+AJ82),1,IF(AO82&lt;=INDIRECT("RANGES!D"&amp;7+AJ82),2,IF(AO82&lt;=INDIRECT("RANGES!E"&amp;7+AJ82),3,IF(AO82&lt;=INDIRECT("RANGES!F"&amp;7+AJ82),4,IF(AO82&lt;=INDIRECT("RANGES!G"&amp;7+AJ82),5,6)))))),"")</f>
        <v/>
      </c>
      <c r="AL82" s="17">
        <f t="shared" si="73"/>
        <v>0</v>
      </c>
      <c r="AM82" s="17" t="str">
        <f t="shared" si="74"/>
        <v/>
      </c>
      <c r="AN82" s="17" t="str">
        <f t="shared" si="80"/>
        <v/>
      </c>
      <c r="AO82" s="17" t="str">
        <f t="shared" si="81"/>
        <v/>
      </c>
      <c r="AP82" s="17" t="str">
        <f t="shared" si="75"/>
        <v/>
      </c>
      <c r="AQ82" s="17" t="str">
        <f t="shared" si="82"/>
        <v/>
      </c>
      <c r="AR82" s="17" t="str">
        <f t="shared" si="83"/>
        <v/>
      </c>
      <c r="AS82" s="17" t="str">
        <f t="shared" si="84"/>
        <v/>
      </c>
      <c r="AT82" s="7" t="str">
        <f t="shared" si="76"/>
        <v/>
      </c>
      <c r="AU82" s="10" t="str">
        <f t="shared" si="85"/>
        <v/>
      </c>
      <c r="AV82" s="7" t="str">
        <f t="shared" si="77"/>
        <v/>
      </c>
      <c r="AW82" s="21" t="str">
        <f t="shared" si="86"/>
        <v/>
      </c>
      <c r="AX82" s="21" t="str">
        <f t="shared" si="78"/>
        <v/>
      </c>
      <c r="AY82" s="7" t="str">
        <f t="shared" si="87"/>
        <v/>
      </c>
      <c r="AZ82" s="7" t="str">
        <f t="shared" si="88"/>
        <v/>
      </c>
    </row>
    <row r="83" spans="1:52" ht="13.2">
      <c r="A83" s="7" t="str">
        <f>HIDDEN!H82</f>
        <v/>
      </c>
      <c r="B83" s="7" t="str">
        <f>IFERROR(MATCH(A83,'3)PACIENTES'!$A$2:$A$97,0),"")</f>
        <v/>
      </c>
      <c r="C83" s="24" t="str">
        <f>IFERROR(INDEX('3)PACIENTES'!D$2:D$97,SAMPLES!$B83),"")</f>
        <v/>
      </c>
      <c r="D83" s="24" t="str">
        <f>IFERROR(INDEX('3)PACIENTES'!B$2:B$97,SAMPLES!$B83),"")</f>
        <v/>
      </c>
      <c r="E83" s="24" t="str">
        <f>IFERROR(INDEX('3)PACIENTES'!$C$2:$C175,SAMPLES!$B83),"")</f>
        <v/>
      </c>
      <c r="F83" s="22">
        <f>'3)PACIENTES'!$F$2</f>
        <v>44039</v>
      </c>
      <c r="G83" s="13" t="str">
        <f>IFERROR(INDEX('3)PACIENTES'!E$2:E$97,SAMPLES!$B83),"")</f>
        <v/>
      </c>
      <c r="H83" s="17" t="str">
        <f t="shared" si="59"/>
        <v/>
      </c>
      <c r="I83" s="17" t="str">
        <f t="shared" si="60"/>
        <v/>
      </c>
      <c r="J83" s="32" t="str">
        <f t="array" ref="J83">IFERROR(INDEX('1)qPCR'!$E$2:$E$97,MATCH(INDEX(HIDDEN!$C$1:$C$96,SMALL(IF(HIDDEN!$B$1:$B$96=$A83&amp;";"&amp;J$1,ROW(HIDDEN!$B$1:$B$96)-ROW(INDEX(HIDDEN!$B$1:$B$96,1,1))+1),J$2)),'1)qPCR'!$A$2:$A$97,0)),"")</f>
        <v/>
      </c>
      <c r="K83" s="32" t="str">
        <f t="array" ref="K83">IFERROR(INDEX('1)qPCR'!$E$2:$E$97,MATCH(INDEX(HIDDEN!$C$1:$C$96,SMALL(IF(HIDDEN!$B$1:$B$96=$A83&amp;";"&amp;K$1,ROW(HIDDEN!$B$1:$B$96)-ROW(INDEX(HIDDEN!$B$1:$B$96,1,1))+1),K$2)),'1)qPCR'!$A$2:$A$97,0)),"")</f>
        <v/>
      </c>
      <c r="L83" s="32" t="str">
        <f t="array" ref="L83">IFERROR(INDEX('1)qPCR'!$E$2:$E$97,MATCH(INDEX(HIDDEN!$C$1:$C$96,SMALL(IF(HIDDEN!$B$1:$B$96=$A83&amp;";"&amp;L$1,ROW(HIDDEN!$B$1:$B$96)-ROW(INDEX(HIDDEN!$B$1:$B$96,1,1))+1),L$2)),'1)qPCR'!$A$2:$A$97,0)),"")</f>
        <v/>
      </c>
      <c r="M83" s="32" t="str">
        <f t="array" ref="M83">IFERROR(INDEX('1)qPCR'!$E$2:$E$97,MATCH(INDEX(HIDDEN!$C$1:$C$96,SMALL(IF(HIDDEN!$B$1:$B$96=$A83&amp;";"&amp;M$1,ROW(HIDDEN!$B$1:$B$96)-ROW(INDEX(HIDDEN!$B$1:$B$96,1,1))+1),M$2)),'1)qPCR'!$A$2:$A$97,0)),"")</f>
        <v/>
      </c>
      <c r="N83" s="32" t="str">
        <f t="array" ref="N83">IFERROR(INDEX('1)qPCR'!$E$2:$E$97,MATCH(INDEX(HIDDEN!$C$1:$C$96,SMALL(IF(HIDDEN!$B$1:$B$96=$A83&amp;";"&amp;N$1,ROW(HIDDEN!$B$1:$B$96)-ROW(INDEX(HIDDEN!$B$1:$B$96,1,1))+1),N$2)),'1)qPCR'!$A$2:$A$97,0)),"")</f>
        <v/>
      </c>
      <c r="O83" s="32" t="str">
        <f t="array" ref="O83">IFERROR(INDEX('1)qPCR'!$E$2:$E$97,MATCH(INDEX(HIDDEN!$C$1:$C$96,SMALL(IF(HIDDEN!$B$1:$B$96=$A83&amp;";"&amp;O$1,ROW(HIDDEN!$B$1:$B$96)-ROW(INDEX(HIDDEN!$B$1:$B$96,1,1))+1),O$2)),'1)qPCR'!$A$2:$A$97,0)),"")</f>
        <v/>
      </c>
      <c r="P83" s="7" t="str">
        <f t="shared" si="61"/>
        <v/>
      </c>
      <c r="Q83" s="18" t="str">
        <f t="shared" si="56"/>
        <v/>
      </c>
      <c r="R83" s="7" t="str">
        <f t="shared" si="62"/>
        <v/>
      </c>
      <c r="S83" s="18" t="str">
        <f t="shared" si="57"/>
        <v/>
      </c>
      <c r="T83" s="10" t="str">
        <f t="shared" si="58"/>
        <v/>
      </c>
      <c r="U83" s="10" t="str">
        <f t="shared" si="63"/>
        <v/>
      </c>
      <c r="V83" s="17" t="str">
        <f t="shared" si="64"/>
        <v/>
      </c>
      <c r="W83" s="17" t="str">
        <f t="shared" si="79"/>
        <v/>
      </c>
      <c r="X83" s="17" t="str">
        <f t="shared" si="49"/>
        <v/>
      </c>
      <c r="Y83" s="17" t="str">
        <f t="shared" si="50"/>
        <v/>
      </c>
      <c r="Z83" s="17" t="str">
        <f t="shared" si="65"/>
        <v/>
      </c>
      <c r="AA83" s="17" t="str">
        <f t="shared" si="66"/>
        <v/>
      </c>
      <c r="AB83" s="17" t="str">
        <f t="shared" si="51"/>
        <v/>
      </c>
      <c r="AC83" s="17" t="str">
        <f t="shared" si="52"/>
        <v/>
      </c>
      <c r="AD83" s="17" t="str">
        <f t="shared" si="67"/>
        <v/>
      </c>
      <c r="AE83" s="17" t="str">
        <f t="shared" si="68"/>
        <v/>
      </c>
      <c r="AF83" s="17" t="str">
        <f t="shared" si="69"/>
        <v/>
      </c>
      <c r="AG83" s="17">
        <f t="shared" si="70"/>
        <v>0</v>
      </c>
      <c r="AH83" s="17">
        <f t="shared" si="71"/>
        <v>0</v>
      </c>
      <c r="AI83" s="17">
        <f t="shared" si="72"/>
        <v>0</v>
      </c>
      <c r="AJ83" s="17" t="str">
        <f>IF(AP83="","",IF(AP83&lt;=RANGES!$A$8,1,IF(AP83&lt;=RANGES!$A$9,2,IF(AP83&lt;=RANGES!$A$10,3,IF(AP83&lt;=RANGES!$A$11,4,IF(AP83&lt;=RANGES!$A$12,5,IF(AP83&lt;=RANGES!$A$13,6,IF(AP83&lt;=RANGES!$A$14,7,8))))))))</f>
        <v/>
      </c>
      <c r="AK83" s="17" t="str">
        <f ca="1">IFERROR(INDEX(RANGES!$C$7:$H$7,1,IF(AO83&lt;=INDIRECT("RANGES!C"&amp;7+AJ83),1,IF(AO83&lt;=INDIRECT("RANGES!D"&amp;7+AJ83),2,IF(AO83&lt;=INDIRECT("RANGES!E"&amp;7+AJ83),3,IF(AO83&lt;=INDIRECT("RANGES!F"&amp;7+AJ83),4,IF(AO83&lt;=INDIRECT("RANGES!G"&amp;7+AJ83),5,6)))))),"")</f>
        <v/>
      </c>
      <c r="AL83" s="17">
        <f t="shared" si="73"/>
        <v>0</v>
      </c>
      <c r="AM83" s="17" t="str">
        <f t="shared" si="74"/>
        <v/>
      </c>
      <c r="AN83" s="17" t="str">
        <f t="shared" si="80"/>
        <v/>
      </c>
      <c r="AO83" s="17" t="str">
        <f t="shared" si="81"/>
        <v/>
      </c>
      <c r="AP83" s="17" t="str">
        <f t="shared" si="75"/>
        <v/>
      </c>
      <c r="AQ83" s="17" t="str">
        <f t="shared" si="82"/>
        <v/>
      </c>
      <c r="AR83" s="17" t="str">
        <f t="shared" si="83"/>
        <v/>
      </c>
      <c r="AS83" s="17" t="str">
        <f t="shared" si="84"/>
        <v/>
      </c>
      <c r="AT83" s="7" t="str">
        <f t="shared" si="76"/>
        <v/>
      </c>
      <c r="AU83" s="10" t="str">
        <f t="shared" si="85"/>
        <v/>
      </c>
      <c r="AV83" s="7" t="str">
        <f t="shared" si="77"/>
        <v/>
      </c>
      <c r="AW83" s="21" t="str">
        <f t="shared" si="86"/>
        <v/>
      </c>
      <c r="AX83" s="21" t="str">
        <f t="shared" si="78"/>
        <v/>
      </c>
      <c r="AY83" s="7" t="str">
        <f t="shared" si="87"/>
        <v/>
      </c>
      <c r="AZ83" s="7" t="str">
        <f t="shared" si="88"/>
        <v/>
      </c>
    </row>
    <row r="84" spans="1:52" ht="13.2">
      <c r="A84" s="7" t="str">
        <f>HIDDEN!H83</f>
        <v/>
      </c>
      <c r="B84" s="7" t="str">
        <f>IFERROR(MATCH(A84,'3)PACIENTES'!$A$2:$A$97,0),"")</f>
        <v/>
      </c>
      <c r="C84" s="24" t="str">
        <f>IFERROR(INDEX('3)PACIENTES'!D$2:D$97,SAMPLES!$B84),"")</f>
        <v/>
      </c>
      <c r="D84" s="24" t="str">
        <f>IFERROR(INDEX('3)PACIENTES'!B$2:B$97,SAMPLES!$B84),"")</f>
        <v/>
      </c>
      <c r="E84" s="24" t="str">
        <f>IFERROR(INDEX('3)PACIENTES'!$C$2:$C176,SAMPLES!$B84),"")</f>
        <v/>
      </c>
      <c r="F84" s="22">
        <f>'3)PACIENTES'!$F$2</f>
        <v>44039</v>
      </c>
      <c r="G84" s="13" t="str">
        <f>IFERROR(INDEX('3)PACIENTES'!E$2:E$97,SAMPLES!$B84),"")</f>
        <v/>
      </c>
      <c r="H84" s="17" t="str">
        <f t="shared" si="59"/>
        <v/>
      </c>
      <c r="I84" s="17" t="str">
        <f t="shared" si="60"/>
        <v/>
      </c>
      <c r="J84" s="32" t="str">
        <f t="array" ref="J84">IFERROR(INDEX('1)qPCR'!$E$2:$E$97,MATCH(INDEX(HIDDEN!$C$1:$C$96,SMALL(IF(HIDDEN!$B$1:$B$96=$A84&amp;";"&amp;J$1,ROW(HIDDEN!$B$1:$B$96)-ROW(INDEX(HIDDEN!$B$1:$B$96,1,1))+1),J$2)),'1)qPCR'!$A$2:$A$97,0)),"")</f>
        <v/>
      </c>
      <c r="K84" s="32" t="str">
        <f t="array" ref="K84">IFERROR(INDEX('1)qPCR'!$E$2:$E$97,MATCH(INDEX(HIDDEN!$C$1:$C$96,SMALL(IF(HIDDEN!$B$1:$B$96=$A84&amp;";"&amp;K$1,ROW(HIDDEN!$B$1:$B$96)-ROW(INDEX(HIDDEN!$B$1:$B$96,1,1))+1),K$2)),'1)qPCR'!$A$2:$A$97,0)),"")</f>
        <v/>
      </c>
      <c r="L84" s="32" t="str">
        <f t="array" ref="L84">IFERROR(INDEX('1)qPCR'!$E$2:$E$97,MATCH(INDEX(HIDDEN!$C$1:$C$96,SMALL(IF(HIDDEN!$B$1:$B$96=$A84&amp;";"&amp;L$1,ROW(HIDDEN!$B$1:$B$96)-ROW(INDEX(HIDDEN!$B$1:$B$96,1,1))+1),L$2)),'1)qPCR'!$A$2:$A$97,0)),"")</f>
        <v/>
      </c>
      <c r="M84" s="32" t="str">
        <f t="array" ref="M84">IFERROR(INDEX('1)qPCR'!$E$2:$E$97,MATCH(INDEX(HIDDEN!$C$1:$C$96,SMALL(IF(HIDDEN!$B$1:$B$96=$A84&amp;";"&amp;M$1,ROW(HIDDEN!$B$1:$B$96)-ROW(INDEX(HIDDEN!$B$1:$B$96,1,1))+1),M$2)),'1)qPCR'!$A$2:$A$97,0)),"")</f>
        <v/>
      </c>
      <c r="N84" s="32" t="str">
        <f t="array" ref="N84">IFERROR(INDEX('1)qPCR'!$E$2:$E$97,MATCH(INDEX(HIDDEN!$C$1:$C$96,SMALL(IF(HIDDEN!$B$1:$B$96=$A84&amp;";"&amp;N$1,ROW(HIDDEN!$B$1:$B$96)-ROW(INDEX(HIDDEN!$B$1:$B$96,1,1))+1),N$2)),'1)qPCR'!$A$2:$A$97,0)),"")</f>
        <v/>
      </c>
      <c r="O84" s="32" t="str">
        <f t="array" ref="O84">IFERROR(INDEX('1)qPCR'!$E$2:$E$97,MATCH(INDEX(HIDDEN!$C$1:$C$96,SMALL(IF(HIDDEN!$B$1:$B$96=$A84&amp;";"&amp;O$1,ROW(HIDDEN!$B$1:$B$96)-ROW(INDEX(HIDDEN!$B$1:$B$96,1,1))+1),O$2)),'1)qPCR'!$A$2:$A$97,0)),"")</f>
        <v/>
      </c>
      <c r="P84" s="7" t="str">
        <f t="shared" si="61"/>
        <v/>
      </c>
      <c r="Q84" s="18" t="str">
        <f t="shared" si="56"/>
        <v/>
      </c>
      <c r="R84" s="7" t="str">
        <f t="shared" si="62"/>
        <v/>
      </c>
      <c r="S84" s="18" t="str">
        <f t="shared" si="57"/>
        <v/>
      </c>
      <c r="T84" s="10" t="str">
        <f t="shared" si="58"/>
        <v/>
      </c>
      <c r="U84" s="10" t="str">
        <f t="shared" si="63"/>
        <v/>
      </c>
      <c r="V84" s="17" t="str">
        <f t="shared" si="64"/>
        <v/>
      </c>
      <c r="W84" s="17" t="str">
        <f t="shared" si="79"/>
        <v/>
      </c>
      <c r="X84" s="17" t="str">
        <f t="shared" si="49"/>
        <v/>
      </c>
      <c r="Y84" s="17" t="str">
        <f t="shared" si="50"/>
        <v/>
      </c>
      <c r="Z84" s="17" t="str">
        <f t="shared" si="65"/>
        <v/>
      </c>
      <c r="AA84" s="17" t="str">
        <f t="shared" si="66"/>
        <v/>
      </c>
      <c r="AB84" s="17" t="str">
        <f t="shared" si="51"/>
        <v/>
      </c>
      <c r="AC84" s="17" t="str">
        <f t="shared" si="52"/>
        <v/>
      </c>
      <c r="AD84" s="17" t="str">
        <f t="shared" si="67"/>
        <v/>
      </c>
      <c r="AE84" s="17" t="str">
        <f t="shared" si="68"/>
        <v/>
      </c>
      <c r="AF84" s="17" t="str">
        <f t="shared" si="69"/>
        <v/>
      </c>
      <c r="AG84" s="17">
        <f t="shared" si="70"/>
        <v>0</v>
      </c>
      <c r="AH84" s="17">
        <f t="shared" si="71"/>
        <v>0</v>
      </c>
      <c r="AI84" s="17">
        <f t="shared" si="72"/>
        <v>0</v>
      </c>
      <c r="AJ84" s="17" t="str">
        <f>IF(AP84="","",IF(AP84&lt;=RANGES!$A$8,1,IF(AP84&lt;=RANGES!$A$9,2,IF(AP84&lt;=RANGES!$A$10,3,IF(AP84&lt;=RANGES!$A$11,4,IF(AP84&lt;=RANGES!$A$12,5,IF(AP84&lt;=RANGES!$A$13,6,IF(AP84&lt;=RANGES!$A$14,7,8))))))))</f>
        <v/>
      </c>
      <c r="AK84" s="17" t="str">
        <f ca="1">IFERROR(INDEX(RANGES!$C$7:$H$7,1,IF(AO84&lt;=INDIRECT("RANGES!C"&amp;7+AJ84),1,IF(AO84&lt;=INDIRECT("RANGES!D"&amp;7+AJ84),2,IF(AO84&lt;=INDIRECT("RANGES!E"&amp;7+AJ84),3,IF(AO84&lt;=INDIRECT("RANGES!F"&amp;7+AJ84),4,IF(AO84&lt;=INDIRECT("RANGES!G"&amp;7+AJ84),5,6)))))),"")</f>
        <v/>
      </c>
      <c r="AL84" s="17">
        <f t="shared" si="73"/>
        <v>0</v>
      </c>
      <c r="AM84" s="17" t="str">
        <f t="shared" si="74"/>
        <v/>
      </c>
      <c r="AN84" s="17" t="str">
        <f t="shared" si="80"/>
        <v/>
      </c>
      <c r="AO84" s="17" t="str">
        <f t="shared" si="81"/>
        <v/>
      </c>
      <c r="AP84" s="17" t="str">
        <f t="shared" si="75"/>
        <v/>
      </c>
      <c r="AQ84" s="17" t="str">
        <f t="shared" si="82"/>
        <v/>
      </c>
      <c r="AR84" s="17" t="str">
        <f t="shared" si="83"/>
        <v/>
      </c>
      <c r="AS84" s="17" t="str">
        <f t="shared" si="84"/>
        <v/>
      </c>
      <c r="AT84" s="7" t="str">
        <f t="shared" si="76"/>
        <v/>
      </c>
      <c r="AU84" s="10" t="str">
        <f t="shared" si="85"/>
        <v/>
      </c>
      <c r="AV84" s="7" t="str">
        <f t="shared" si="77"/>
        <v/>
      </c>
      <c r="AW84" s="21" t="str">
        <f t="shared" si="86"/>
        <v/>
      </c>
      <c r="AX84" s="21" t="str">
        <f t="shared" si="78"/>
        <v/>
      </c>
      <c r="AY84" s="7" t="str">
        <f t="shared" si="87"/>
        <v/>
      </c>
      <c r="AZ84" s="7" t="str">
        <f t="shared" si="88"/>
        <v/>
      </c>
    </row>
    <row r="85" spans="1:52" ht="13.2">
      <c r="A85" s="7" t="str">
        <f>HIDDEN!H84</f>
        <v/>
      </c>
      <c r="B85" s="7" t="str">
        <f>IFERROR(MATCH(A85,'3)PACIENTES'!$A$2:$A$97,0),"")</f>
        <v/>
      </c>
      <c r="C85" s="24" t="str">
        <f>IFERROR(INDEX('3)PACIENTES'!D$2:D$97,SAMPLES!$B85),"")</f>
        <v/>
      </c>
      <c r="D85" s="24" t="str">
        <f>IFERROR(INDEX('3)PACIENTES'!B$2:B$97,SAMPLES!$B85),"")</f>
        <v/>
      </c>
      <c r="E85" s="24" t="str">
        <f>IFERROR(INDEX('3)PACIENTES'!$C$2:$C177,SAMPLES!$B85),"")</f>
        <v/>
      </c>
      <c r="F85" s="22">
        <f>'3)PACIENTES'!$F$2</f>
        <v>44039</v>
      </c>
      <c r="G85" s="13" t="str">
        <f>IFERROR(INDEX('3)PACIENTES'!E$2:E$97,SAMPLES!$B85),"")</f>
        <v/>
      </c>
      <c r="H85" s="17" t="str">
        <f t="shared" si="59"/>
        <v/>
      </c>
      <c r="I85" s="17" t="str">
        <f t="shared" si="60"/>
        <v/>
      </c>
      <c r="J85" s="32" t="str">
        <f t="array" ref="J85">IFERROR(INDEX('1)qPCR'!$E$2:$E$97,MATCH(INDEX(HIDDEN!$C$1:$C$96,SMALL(IF(HIDDEN!$B$1:$B$96=$A85&amp;";"&amp;J$1,ROW(HIDDEN!$B$1:$B$96)-ROW(INDEX(HIDDEN!$B$1:$B$96,1,1))+1),J$2)),'1)qPCR'!$A$2:$A$97,0)),"")</f>
        <v/>
      </c>
      <c r="K85" s="32" t="str">
        <f t="array" ref="K85">IFERROR(INDEX('1)qPCR'!$E$2:$E$97,MATCH(INDEX(HIDDEN!$C$1:$C$96,SMALL(IF(HIDDEN!$B$1:$B$96=$A85&amp;";"&amp;K$1,ROW(HIDDEN!$B$1:$B$96)-ROW(INDEX(HIDDEN!$B$1:$B$96,1,1))+1),K$2)),'1)qPCR'!$A$2:$A$97,0)),"")</f>
        <v/>
      </c>
      <c r="L85" s="32" t="str">
        <f t="array" ref="L85">IFERROR(INDEX('1)qPCR'!$E$2:$E$97,MATCH(INDEX(HIDDEN!$C$1:$C$96,SMALL(IF(HIDDEN!$B$1:$B$96=$A85&amp;";"&amp;L$1,ROW(HIDDEN!$B$1:$B$96)-ROW(INDEX(HIDDEN!$B$1:$B$96,1,1))+1),L$2)),'1)qPCR'!$A$2:$A$97,0)),"")</f>
        <v/>
      </c>
      <c r="M85" s="32" t="str">
        <f t="array" ref="M85">IFERROR(INDEX('1)qPCR'!$E$2:$E$97,MATCH(INDEX(HIDDEN!$C$1:$C$96,SMALL(IF(HIDDEN!$B$1:$B$96=$A85&amp;";"&amp;M$1,ROW(HIDDEN!$B$1:$B$96)-ROW(INDEX(HIDDEN!$B$1:$B$96,1,1))+1),M$2)),'1)qPCR'!$A$2:$A$97,0)),"")</f>
        <v/>
      </c>
      <c r="N85" s="32" t="str">
        <f t="array" ref="N85">IFERROR(INDEX('1)qPCR'!$E$2:$E$97,MATCH(INDEX(HIDDEN!$C$1:$C$96,SMALL(IF(HIDDEN!$B$1:$B$96=$A85&amp;";"&amp;N$1,ROW(HIDDEN!$B$1:$B$96)-ROW(INDEX(HIDDEN!$B$1:$B$96,1,1))+1),N$2)),'1)qPCR'!$A$2:$A$97,0)),"")</f>
        <v/>
      </c>
      <c r="O85" s="32" t="str">
        <f t="array" ref="O85">IFERROR(INDEX('1)qPCR'!$E$2:$E$97,MATCH(INDEX(HIDDEN!$C$1:$C$96,SMALL(IF(HIDDEN!$B$1:$B$96=$A85&amp;";"&amp;O$1,ROW(HIDDEN!$B$1:$B$96)-ROW(INDEX(HIDDEN!$B$1:$B$96,1,1))+1),O$2)),'1)qPCR'!$A$2:$A$97,0)),"")</f>
        <v/>
      </c>
      <c r="P85" s="7" t="str">
        <f t="shared" si="61"/>
        <v/>
      </c>
      <c r="Q85" s="18" t="str">
        <f t="shared" si="56"/>
        <v/>
      </c>
      <c r="R85" s="7" t="str">
        <f t="shared" si="62"/>
        <v/>
      </c>
      <c r="S85" s="18" t="str">
        <f t="shared" si="57"/>
        <v/>
      </c>
      <c r="T85" s="10" t="str">
        <f t="shared" si="58"/>
        <v/>
      </c>
      <c r="U85" s="10" t="str">
        <f t="shared" si="63"/>
        <v/>
      </c>
      <c r="V85" s="17" t="str">
        <f t="shared" si="64"/>
        <v/>
      </c>
      <c r="W85" s="17" t="str">
        <f t="shared" si="79"/>
        <v/>
      </c>
      <c r="X85" s="17" t="str">
        <f t="shared" si="49"/>
        <v/>
      </c>
      <c r="Y85" s="17" t="str">
        <f t="shared" si="50"/>
        <v/>
      </c>
      <c r="Z85" s="17" t="str">
        <f t="shared" si="65"/>
        <v/>
      </c>
      <c r="AA85" s="17" t="str">
        <f t="shared" si="66"/>
        <v/>
      </c>
      <c r="AB85" s="17" t="str">
        <f t="shared" si="51"/>
        <v/>
      </c>
      <c r="AC85" s="17" t="str">
        <f t="shared" si="52"/>
        <v/>
      </c>
      <c r="AD85" s="17" t="str">
        <f t="shared" si="67"/>
        <v/>
      </c>
      <c r="AE85" s="17" t="str">
        <f t="shared" si="68"/>
        <v/>
      </c>
      <c r="AF85" s="17" t="str">
        <f t="shared" si="69"/>
        <v/>
      </c>
      <c r="AG85" s="17">
        <f t="shared" si="70"/>
        <v>0</v>
      </c>
      <c r="AH85" s="17">
        <f t="shared" si="71"/>
        <v>0</v>
      </c>
      <c r="AI85" s="17">
        <f t="shared" si="72"/>
        <v>0</v>
      </c>
      <c r="AJ85" s="17" t="str">
        <f>IF(AP85="","",IF(AP85&lt;=RANGES!$A$8,1,IF(AP85&lt;=RANGES!$A$9,2,IF(AP85&lt;=RANGES!$A$10,3,IF(AP85&lt;=RANGES!$A$11,4,IF(AP85&lt;=RANGES!$A$12,5,IF(AP85&lt;=RANGES!$A$13,6,IF(AP85&lt;=RANGES!$A$14,7,8))))))))</f>
        <v/>
      </c>
      <c r="AK85" s="17" t="str">
        <f ca="1">IFERROR(INDEX(RANGES!$C$7:$H$7,1,IF(AO85&lt;=INDIRECT("RANGES!C"&amp;7+AJ85),1,IF(AO85&lt;=INDIRECT("RANGES!D"&amp;7+AJ85),2,IF(AO85&lt;=INDIRECT("RANGES!E"&amp;7+AJ85),3,IF(AO85&lt;=INDIRECT("RANGES!F"&amp;7+AJ85),4,IF(AO85&lt;=INDIRECT("RANGES!G"&amp;7+AJ85),5,6)))))),"")</f>
        <v/>
      </c>
      <c r="AL85" s="17">
        <f t="shared" si="73"/>
        <v>0</v>
      </c>
      <c r="AM85" s="17" t="str">
        <f t="shared" si="74"/>
        <v/>
      </c>
      <c r="AN85" s="17" t="str">
        <f t="shared" si="80"/>
        <v/>
      </c>
      <c r="AO85" s="17" t="str">
        <f t="shared" si="81"/>
        <v/>
      </c>
      <c r="AP85" s="17" t="str">
        <f t="shared" si="75"/>
        <v/>
      </c>
      <c r="AQ85" s="17" t="str">
        <f t="shared" si="82"/>
        <v/>
      </c>
      <c r="AR85" s="17" t="str">
        <f t="shared" si="83"/>
        <v/>
      </c>
      <c r="AS85" s="17" t="str">
        <f t="shared" si="84"/>
        <v/>
      </c>
      <c r="AT85" s="7" t="str">
        <f t="shared" si="76"/>
        <v/>
      </c>
      <c r="AU85" s="10" t="str">
        <f t="shared" si="85"/>
        <v/>
      </c>
      <c r="AV85" s="7" t="str">
        <f t="shared" si="77"/>
        <v/>
      </c>
      <c r="AW85" s="21" t="str">
        <f t="shared" si="86"/>
        <v/>
      </c>
      <c r="AX85" s="21" t="str">
        <f t="shared" si="78"/>
        <v/>
      </c>
      <c r="AY85" s="7" t="str">
        <f t="shared" si="87"/>
        <v/>
      </c>
      <c r="AZ85" s="7" t="str">
        <f t="shared" si="88"/>
        <v/>
      </c>
    </row>
    <row r="86" spans="1:52" ht="13.2">
      <c r="A86" s="7" t="str">
        <f>HIDDEN!H85</f>
        <v/>
      </c>
      <c r="B86" s="7" t="str">
        <f>IFERROR(MATCH(A86,'3)PACIENTES'!$A$2:$A$97,0),"")</f>
        <v/>
      </c>
      <c r="C86" s="24" t="str">
        <f>IFERROR(INDEX('3)PACIENTES'!D$2:D$97,SAMPLES!$B86),"")</f>
        <v/>
      </c>
      <c r="D86" s="24" t="str">
        <f>IFERROR(INDEX('3)PACIENTES'!B$2:B$97,SAMPLES!$B86),"")</f>
        <v/>
      </c>
      <c r="E86" s="24" t="str">
        <f>IFERROR(INDEX('3)PACIENTES'!$C$2:$C178,SAMPLES!$B86),"")</f>
        <v/>
      </c>
      <c r="F86" s="22">
        <f>'3)PACIENTES'!$F$2</f>
        <v>44039</v>
      </c>
      <c r="G86" s="13" t="str">
        <f>IFERROR(INDEX('3)PACIENTES'!E$2:E$97,SAMPLES!$B86),"")</f>
        <v/>
      </c>
      <c r="H86" s="17" t="str">
        <f t="shared" si="59"/>
        <v/>
      </c>
      <c r="I86" s="17" t="str">
        <f t="shared" si="60"/>
        <v/>
      </c>
      <c r="J86" s="32" t="str">
        <f t="array" ref="J86">IFERROR(INDEX('1)qPCR'!$E$2:$E$97,MATCH(INDEX(HIDDEN!$C$1:$C$96,SMALL(IF(HIDDEN!$B$1:$B$96=$A86&amp;";"&amp;J$1,ROW(HIDDEN!$B$1:$B$96)-ROW(INDEX(HIDDEN!$B$1:$B$96,1,1))+1),J$2)),'1)qPCR'!$A$2:$A$97,0)),"")</f>
        <v/>
      </c>
      <c r="K86" s="32" t="str">
        <f t="array" ref="K86">IFERROR(INDEX('1)qPCR'!$E$2:$E$97,MATCH(INDEX(HIDDEN!$C$1:$C$96,SMALL(IF(HIDDEN!$B$1:$B$96=$A86&amp;";"&amp;K$1,ROW(HIDDEN!$B$1:$B$96)-ROW(INDEX(HIDDEN!$B$1:$B$96,1,1))+1),K$2)),'1)qPCR'!$A$2:$A$97,0)),"")</f>
        <v/>
      </c>
      <c r="L86" s="32" t="str">
        <f t="array" ref="L86">IFERROR(INDEX('1)qPCR'!$E$2:$E$97,MATCH(INDEX(HIDDEN!$C$1:$C$96,SMALL(IF(HIDDEN!$B$1:$B$96=$A86&amp;";"&amp;L$1,ROW(HIDDEN!$B$1:$B$96)-ROW(INDEX(HIDDEN!$B$1:$B$96,1,1))+1),L$2)),'1)qPCR'!$A$2:$A$97,0)),"")</f>
        <v/>
      </c>
      <c r="M86" s="32" t="str">
        <f t="array" ref="M86">IFERROR(INDEX('1)qPCR'!$E$2:$E$97,MATCH(INDEX(HIDDEN!$C$1:$C$96,SMALL(IF(HIDDEN!$B$1:$B$96=$A86&amp;";"&amp;M$1,ROW(HIDDEN!$B$1:$B$96)-ROW(INDEX(HIDDEN!$B$1:$B$96,1,1))+1),M$2)),'1)qPCR'!$A$2:$A$97,0)),"")</f>
        <v/>
      </c>
      <c r="N86" s="32" t="str">
        <f t="array" ref="N86">IFERROR(INDEX('1)qPCR'!$E$2:$E$97,MATCH(INDEX(HIDDEN!$C$1:$C$96,SMALL(IF(HIDDEN!$B$1:$B$96=$A86&amp;";"&amp;N$1,ROW(HIDDEN!$B$1:$B$96)-ROW(INDEX(HIDDEN!$B$1:$B$96,1,1))+1),N$2)),'1)qPCR'!$A$2:$A$97,0)),"")</f>
        <v/>
      </c>
      <c r="O86" s="32" t="str">
        <f t="array" ref="O86">IFERROR(INDEX('1)qPCR'!$E$2:$E$97,MATCH(INDEX(HIDDEN!$C$1:$C$96,SMALL(IF(HIDDEN!$B$1:$B$96=$A86&amp;";"&amp;O$1,ROW(HIDDEN!$B$1:$B$96)-ROW(INDEX(HIDDEN!$B$1:$B$96,1,1))+1),O$2)),'1)qPCR'!$A$2:$A$97,0)),"")</f>
        <v/>
      </c>
      <c r="P86" s="7" t="str">
        <f t="shared" si="61"/>
        <v/>
      </c>
      <c r="Q86" s="18" t="str">
        <f t="shared" si="56"/>
        <v/>
      </c>
      <c r="R86" s="7" t="str">
        <f t="shared" si="62"/>
        <v/>
      </c>
      <c r="S86" s="18" t="str">
        <f t="shared" si="57"/>
        <v/>
      </c>
      <c r="T86" s="10" t="str">
        <f t="shared" si="58"/>
        <v/>
      </c>
      <c r="U86" s="10" t="str">
        <f t="shared" si="63"/>
        <v/>
      </c>
      <c r="V86" s="17" t="str">
        <f t="shared" si="64"/>
        <v/>
      </c>
      <c r="W86" s="17" t="str">
        <f t="shared" si="79"/>
        <v/>
      </c>
      <c r="X86" s="17" t="str">
        <f t="shared" si="49"/>
        <v/>
      </c>
      <c r="Y86" s="17" t="str">
        <f t="shared" si="50"/>
        <v/>
      </c>
      <c r="Z86" s="17" t="str">
        <f t="shared" si="65"/>
        <v/>
      </c>
      <c r="AA86" s="17" t="str">
        <f t="shared" si="66"/>
        <v/>
      </c>
      <c r="AB86" s="17" t="str">
        <f t="shared" si="51"/>
        <v/>
      </c>
      <c r="AC86" s="17" t="str">
        <f t="shared" si="52"/>
        <v/>
      </c>
      <c r="AD86" s="17" t="str">
        <f t="shared" si="67"/>
        <v/>
      </c>
      <c r="AE86" s="17" t="str">
        <f t="shared" si="68"/>
        <v/>
      </c>
      <c r="AF86" s="17" t="str">
        <f t="shared" si="69"/>
        <v/>
      </c>
      <c r="AG86" s="17">
        <f t="shared" si="70"/>
        <v>0</v>
      </c>
      <c r="AH86" s="17">
        <f t="shared" si="71"/>
        <v>0</v>
      </c>
      <c r="AI86" s="17">
        <f t="shared" si="72"/>
        <v>0</v>
      </c>
      <c r="AJ86" s="17" t="str">
        <f>IF(AP86="","",IF(AP86&lt;=RANGES!$A$8,1,IF(AP86&lt;=RANGES!$A$9,2,IF(AP86&lt;=RANGES!$A$10,3,IF(AP86&lt;=RANGES!$A$11,4,IF(AP86&lt;=RANGES!$A$12,5,IF(AP86&lt;=RANGES!$A$13,6,IF(AP86&lt;=RANGES!$A$14,7,8))))))))</f>
        <v/>
      </c>
      <c r="AK86" s="17" t="str">
        <f ca="1">IFERROR(INDEX(RANGES!$C$7:$H$7,1,IF(AO86&lt;=INDIRECT("RANGES!C"&amp;7+AJ86),1,IF(AO86&lt;=INDIRECT("RANGES!D"&amp;7+AJ86),2,IF(AO86&lt;=INDIRECT("RANGES!E"&amp;7+AJ86),3,IF(AO86&lt;=INDIRECT("RANGES!F"&amp;7+AJ86),4,IF(AO86&lt;=INDIRECT("RANGES!G"&amp;7+AJ86),5,6)))))),"")</f>
        <v/>
      </c>
      <c r="AL86" s="17">
        <f t="shared" si="73"/>
        <v>0</v>
      </c>
      <c r="AM86" s="17" t="str">
        <f t="shared" si="74"/>
        <v/>
      </c>
      <c r="AN86" s="17" t="str">
        <f t="shared" si="80"/>
        <v/>
      </c>
      <c r="AO86" s="17" t="str">
        <f t="shared" si="81"/>
        <v/>
      </c>
      <c r="AP86" s="17" t="str">
        <f t="shared" si="75"/>
        <v/>
      </c>
      <c r="AQ86" s="17" t="str">
        <f t="shared" si="82"/>
        <v/>
      </c>
      <c r="AR86" s="17" t="str">
        <f t="shared" si="83"/>
        <v/>
      </c>
      <c r="AS86" s="17" t="str">
        <f t="shared" si="84"/>
        <v/>
      </c>
      <c r="AT86" s="7" t="str">
        <f t="shared" si="76"/>
        <v/>
      </c>
      <c r="AU86" s="10" t="str">
        <f t="shared" si="85"/>
        <v/>
      </c>
      <c r="AV86" s="7" t="str">
        <f t="shared" si="77"/>
        <v/>
      </c>
      <c r="AW86" s="21" t="str">
        <f t="shared" si="86"/>
        <v/>
      </c>
      <c r="AX86" s="21" t="str">
        <f t="shared" si="78"/>
        <v/>
      </c>
      <c r="AY86" s="7" t="str">
        <f t="shared" si="87"/>
        <v/>
      </c>
      <c r="AZ86" s="7" t="str">
        <f t="shared" si="88"/>
        <v/>
      </c>
    </row>
    <row r="87" spans="1:52" ht="13.2">
      <c r="A87" s="7" t="str">
        <f>HIDDEN!H86</f>
        <v/>
      </c>
      <c r="B87" s="7" t="str">
        <f>IFERROR(MATCH(A87,'3)PACIENTES'!$A$2:$A$97,0),"")</f>
        <v/>
      </c>
      <c r="C87" s="24" t="str">
        <f>IFERROR(INDEX('3)PACIENTES'!D$2:D$97,SAMPLES!$B87),"")</f>
        <v/>
      </c>
      <c r="D87" s="24" t="str">
        <f>IFERROR(INDEX('3)PACIENTES'!B$2:B$97,SAMPLES!$B87),"")</f>
        <v/>
      </c>
      <c r="E87" s="24" t="str">
        <f>IFERROR(INDEX('3)PACIENTES'!$C$2:$C179,SAMPLES!$B87),"")</f>
        <v/>
      </c>
      <c r="F87" s="22">
        <f>'3)PACIENTES'!$F$2</f>
        <v>44039</v>
      </c>
      <c r="G87" s="13" t="str">
        <f>IFERROR(INDEX('3)PACIENTES'!E$2:E$97,SAMPLES!$B87),"")</f>
        <v/>
      </c>
      <c r="H87" s="17" t="str">
        <f t="shared" si="59"/>
        <v/>
      </c>
      <c r="I87" s="17" t="str">
        <f t="shared" si="60"/>
        <v/>
      </c>
      <c r="J87" s="32" t="str">
        <f t="array" ref="J87">IFERROR(INDEX('1)qPCR'!$E$2:$E$97,MATCH(INDEX(HIDDEN!$C$1:$C$96,SMALL(IF(HIDDEN!$B$1:$B$96=$A87&amp;";"&amp;J$1,ROW(HIDDEN!$B$1:$B$96)-ROW(INDEX(HIDDEN!$B$1:$B$96,1,1))+1),J$2)),'1)qPCR'!$A$2:$A$97,0)),"")</f>
        <v/>
      </c>
      <c r="K87" s="32" t="str">
        <f t="array" ref="K87">IFERROR(INDEX('1)qPCR'!$E$2:$E$97,MATCH(INDEX(HIDDEN!$C$1:$C$96,SMALL(IF(HIDDEN!$B$1:$B$96=$A87&amp;";"&amp;K$1,ROW(HIDDEN!$B$1:$B$96)-ROW(INDEX(HIDDEN!$B$1:$B$96,1,1))+1),K$2)),'1)qPCR'!$A$2:$A$97,0)),"")</f>
        <v/>
      </c>
      <c r="L87" s="32" t="str">
        <f t="array" ref="L87">IFERROR(INDEX('1)qPCR'!$E$2:$E$97,MATCH(INDEX(HIDDEN!$C$1:$C$96,SMALL(IF(HIDDEN!$B$1:$B$96=$A87&amp;";"&amp;L$1,ROW(HIDDEN!$B$1:$B$96)-ROW(INDEX(HIDDEN!$B$1:$B$96,1,1))+1),L$2)),'1)qPCR'!$A$2:$A$97,0)),"")</f>
        <v/>
      </c>
      <c r="M87" s="32" t="str">
        <f t="array" ref="M87">IFERROR(INDEX('1)qPCR'!$E$2:$E$97,MATCH(INDEX(HIDDEN!$C$1:$C$96,SMALL(IF(HIDDEN!$B$1:$B$96=$A87&amp;";"&amp;M$1,ROW(HIDDEN!$B$1:$B$96)-ROW(INDEX(HIDDEN!$B$1:$B$96,1,1))+1),M$2)),'1)qPCR'!$A$2:$A$97,0)),"")</f>
        <v/>
      </c>
      <c r="N87" s="32" t="str">
        <f t="array" ref="N87">IFERROR(INDEX('1)qPCR'!$E$2:$E$97,MATCH(INDEX(HIDDEN!$C$1:$C$96,SMALL(IF(HIDDEN!$B$1:$B$96=$A87&amp;";"&amp;N$1,ROW(HIDDEN!$B$1:$B$96)-ROW(INDEX(HIDDEN!$B$1:$B$96,1,1))+1),N$2)),'1)qPCR'!$A$2:$A$97,0)),"")</f>
        <v/>
      </c>
      <c r="O87" s="32" t="str">
        <f t="array" ref="O87">IFERROR(INDEX('1)qPCR'!$E$2:$E$97,MATCH(INDEX(HIDDEN!$C$1:$C$96,SMALL(IF(HIDDEN!$B$1:$B$96=$A87&amp;";"&amp;O$1,ROW(HIDDEN!$B$1:$B$96)-ROW(INDEX(HIDDEN!$B$1:$B$96,1,1))+1),O$2)),'1)qPCR'!$A$2:$A$97,0)),"")</f>
        <v/>
      </c>
      <c r="P87" s="7" t="str">
        <f t="shared" si="61"/>
        <v/>
      </c>
      <c r="Q87" s="18" t="str">
        <f t="shared" si="56"/>
        <v/>
      </c>
      <c r="R87" s="7" t="str">
        <f t="shared" si="62"/>
        <v/>
      </c>
      <c r="S87" s="18" t="str">
        <f t="shared" si="57"/>
        <v/>
      </c>
      <c r="T87" s="10" t="str">
        <f t="shared" si="58"/>
        <v/>
      </c>
      <c r="U87" s="10" t="str">
        <f t="shared" si="63"/>
        <v/>
      </c>
      <c r="V87" s="17" t="str">
        <f t="shared" si="64"/>
        <v/>
      </c>
      <c r="W87" s="17" t="str">
        <f t="shared" si="79"/>
        <v/>
      </c>
      <c r="X87" s="17" t="str">
        <f t="shared" si="49"/>
        <v/>
      </c>
      <c r="Y87" s="17" t="str">
        <f t="shared" si="50"/>
        <v/>
      </c>
      <c r="Z87" s="17" t="str">
        <f t="shared" si="65"/>
        <v/>
      </c>
      <c r="AA87" s="17" t="str">
        <f t="shared" si="66"/>
        <v/>
      </c>
      <c r="AB87" s="17" t="str">
        <f t="shared" si="51"/>
        <v/>
      </c>
      <c r="AC87" s="17" t="str">
        <f t="shared" si="52"/>
        <v/>
      </c>
      <c r="AD87" s="17" t="str">
        <f t="shared" si="67"/>
        <v/>
      </c>
      <c r="AE87" s="17" t="str">
        <f t="shared" si="68"/>
        <v/>
      </c>
      <c r="AF87" s="17" t="str">
        <f t="shared" si="69"/>
        <v/>
      </c>
      <c r="AG87" s="17">
        <f t="shared" si="70"/>
        <v>0</v>
      </c>
      <c r="AH87" s="17">
        <f t="shared" si="71"/>
        <v>0</v>
      </c>
      <c r="AI87" s="17">
        <f t="shared" si="72"/>
        <v>0</v>
      </c>
      <c r="AJ87" s="17" t="str">
        <f>IF(AP87="","",IF(AP87&lt;=RANGES!$A$8,1,IF(AP87&lt;=RANGES!$A$9,2,IF(AP87&lt;=RANGES!$A$10,3,IF(AP87&lt;=RANGES!$A$11,4,IF(AP87&lt;=RANGES!$A$12,5,IF(AP87&lt;=RANGES!$A$13,6,IF(AP87&lt;=RANGES!$A$14,7,8))))))))</f>
        <v/>
      </c>
      <c r="AK87" s="17" t="str">
        <f ca="1">IFERROR(INDEX(RANGES!$C$7:$H$7,1,IF(AO87&lt;=INDIRECT("RANGES!C"&amp;7+AJ87),1,IF(AO87&lt;=INDIRECT("RANGES!D"&amp;7+AJ87),2,IF(AO87&lt;=INDIRECT("RANGES!E"&amp;7+AJ87),3,IF(AO87&lt;=INDIRECT("RANGES!F"&amp;7+AJ87),4,IF(AO87&lt;=INDIRECT("RANGES!G"&amp;7+AJ87),5,6)))))),"")</f>
        <v/>
      </c>
      <c r="AL87" s="17">
        <f t="shared" si="73"/>
        <v>0</v>
      </c>
      <c r="AM87" s="17" t="str">
        <f t="shared" si="74"/>
        <v/>
      </c>
      <c r="AN87" s="17" t="str">
        <f t="shared" si="80"/>
        <v/>
      </c>
      <c r="AO87" s="17" t="str">
        <f t="shared" si="81"/>
        <v/>
      </c>
      <c r="AP87" s="17" t="str">
        <f t="shared" si="75"/>
        <v/>
      </c>
      <c r="AQ87" s="17" t="str">
        <f t="shared" si="82"/>
        <v/>
      </c>
      <c r="AR87" s="17" t="str">
        <f t="shared" si="83"/>
        <v/>
      </c>
      <c r="AS87" s="17" t="str">
        <f t="shared" si="84"/>
        <v/>
      </c>
      <c r="AT87" s="7" t="str">
        <f t="shared" si="76"/>
        <v/>
      </c>
      <c r="AU87" s="10" t="str">
        <f t="shared" si="85"/>
        <v/>
      </c>
      <c r="AV87" s="7" t="str">
        <f t="shared" si="77"/>
        <v/>
      </c>
      <c r="AW87" s="21" t="str">
        <f t="shared" si="86"/>
        <v/>
      </c>
      <c r="AX87" s="21" t="str">
        <f t="shared" si="78"/>
        <v/>
      </c>
      <c r="AY87" s="7" t="str">
        <f t="shared" si="87"/>
        <v/>
      </c>
      <c r="AZ87" s="7" t="str">
        <f t="shared" si="88"/>
        <v/>
      </c>
    </row>
    <row r="88" spans="1:52" ht="13.2">
      <c r="A88" s="7" t="str">
        <f>HIDDEN!H87</f>
        <v/>
      </c>
      <c r="B88" s="7" t="str">
        <f>IFERROR(MATCH(A88,'3)PACIENTES'!$A$2:$A$97,0),"")</f>
        <v/>
      </c>
      <c r="C88" s="24" t="str">
        <f>IFERROR(INDEX('3)PACIENTES'!D$2:D$97,SAMPLES!$B88),"")</f>
        <v/>
      </c>
      <c r="D88" s="24" t="str">
        <f>IFERROR(INDEX('3)PACIENTES'!B$2:B$97,SAMPLES!$B88),"")</f>
        <v/>
      </c>
      <c r="E88" s="24" t="str">
        <f>IFERROR(INDEX('3)PACIENTES'!$C$2:$C180,SAMPLES!$B88),"")</f>
        <v/>
      </c>
      <c r="F88" s="22">
        <f>'3)PACIENTES'!$F$2</f>
        <v>44039</v>
      </c>
      <c r="G88" s="13" t="str">
        <f>IFERROR(INDEX('3)PACIENTES'!E$2:E$97,SAMPLES!$B88),"")</f>
        <v/>
      </c>
      <c r="H88" s="17" t="str">
        <f t="shared" si="59"/>
        <v/>
      </c>
      <c r="I88" s="17" t="str">
        <f t="shared" si="60"/>
        <v/>
      </c>
      <c r="J88" s="32" t="str">
        <f t="array" ref="J88">IFERROR(INDEX('1)qPCR'!$E$2:$E$97,MATCH(INDEX(HIDDEN!$C$1:$C$96,SMALL(IF(HIDDEN!$B$1:$B$96=$A88&amp;";"&amp;J$1,ROW(HIDDEN!$B$1:$B$96)-ROW(INDEX(HIDDEN!$B$1:$B$96,1,1))+1),J$2)),'1)qPCR'!$A$2:$A$97,0)),"")</f>
        <v/>
      </c>
      <c r="K88" s="32" t="str">
        <f t="array" ref="K88">IFERROR(INDEX('1)qPCR'!$E$2:$E$97,MATCH(INDEX(HIDDEN!$C$1:$C$96,SMALL(IF(HIDDEN!$B$1:$B$96=$A88&amp;";"&amp;K$1,ROW(HIDDEN!$B$1:$B$96)-ROW(INDEX(HIDDEN!$B$1:$B$96,1,1))+1),K$2)),'1)qPCR'!$A$2:$A$97,0)),"")</f>
        <v/>
      </c>
      <c r="L88" s="32" t="str">
        <f t="array" ref="L88">IFERROR(INDEX('1)qPCR'!$E$2:$E$97,MATCH(INDEX(HIDDEN!$C$1:$C$96,SMALL(IF(HIDDEN!$B$1:$B$96=$A88&amp;";"&amp;L$1,ROW(HIDDEN!$B$1:$B$96)-ROW(INDEX(HIDDEN!$B$1:$B$96,1,1))+1),L$2)),'1)qPCR'!$A$2:$A$97,0)),"")</f>
        <v/>
      </c>
      <c r="M88" s="32" t="str">
        <f t="array" ref="M88">IFERROR(INDEX('1)qPCR'!$E$2:$E$97,MATCH(INDEX(HIDDEN!$C$1:$C$96,SMALL(IF(HIDDEN!$B$1:$B$96=$A88&amp;";"&amp;M$1,ROW(HIDDEN!$B$1:$B$96)-ROW(INDEX(HIDDEN!$B$1:$B$96,1,1))+1),M$2)),'1)qPCR'!$A$2:$A$97,0)),"")</f>
        <v/>
      </c>
      <c r="N88" s="32" t="str">
        <f t="array" ref="N88">IFERROR(INDEX('1)qPCR'!$E$2:$E$97,MATCH(INDEX(HIDDEN!$C$1:$C$96,SMALL(IF(HIDDEN!$B$1:$B$96=$A88&amp;";"&amp;N$1,ROW(HIDDEN!$B$1:$B$96)-ROW(INDEX(HIDDEN!$B$1:$B$96,1,1))+1),N$2)),'1)qPCR'!$A$2:$A$97,0)),"")</f>
        <v/>
      </c>
      <c r="O88" s="32" t="str">
        <f t="array" ref="O88">IFERROR(INDEX('1)qPCR'!$E$2:$E$97,MATCH(INDEX(HIDDEN!$C$1:$C$96,SMALL(IF(HIDDEN!$B$1:$B$96=$A88&amp;";"&amp;O$1,ROW(HIDDEN!$B$1:$B$96)-ROW(INDEX(HIDDEN!$B$1:$B$96,1,1))+1),O$2)),'1)qPCR'!$A$2:$A$97,0)),"")</f>
        <v/>
      </c>
      <c r="P88" s="7" t="str">
        <f t="shared" si="61"/>
        <v/>
      </c>
      <c r="Q88" s="18" t="str">
        <f t="shared" si="56"/>
        <v/>
      </c>
      <c r="R88" s="7" t="str">
        <f t="shared" si="62"/>
        <v/>
      </c>
      <c r="S88" s="18" t="str">
        <f t="shared" si="57"/>
        <v/>
      </c>
      <c r="T88" s="10" t="str">
        <f t="shared" si="58"/>
        <v/>
      </c>
      <c r="U88" s="10" t="str">
        <f t="shared" si="63"/>
        <v/>
      </c>
      <c r="V88" s="17" t="str">
        <f t="shared" si="64"/>
        <v/>
      </c>
      <c r="W88" s="17" t="str">
        <f t="shared" si="79"/>
        <v/>
      </c>
      <c r="X88" s="17" t="str">
        <f t="shared" si="49"/>
        <v/>
      </c>
      <c r="Y88" s="17" t="str">
        <f t="shared" si="50"/>
        <v/>
      </c>
      <c r="Z88" s="17" t="str">
        <f t="shared" si="65"/>
        <v/>
      </c>
      <c r="AA88" s="17" t="str">
        <f t="shared" si="66"/>
        <v/>
      </c>
      <c r="AB88" s="17" t="str">
        <f t="shared" si="51"/>
        <v/>
      </c>
      <c r="AC88" s="17" t="str">
        <f t="shared" si="52"/>
        <v/>
      </c>
      <c r="AD88" s="17" t="str">
        <f t="shared" si="67"/>
        <v/>
      </c>
      <c r="AE88" s="17" t="str">
        <f t="shared" si="68"/>
        <v/>
      </c>
      <c r="AF88" s="17" t="str">
        <f t="shared" si="69"/>
        <v/>
      </c>
      <c r="AG88" s="17">
        <f t="shared" si="70"/>
        <v>0</v>
      </c>
      <c r="AH88" s="17">
        <f t="shared" si="71"/>
        <v>0</v>
      </c>
      <c r="AI88" s="17">
        <f t="shared" si="72"/>
        <v>0</v>
      </c>
      <c r="AJ88" s="17" t="str">
        <f>IF(AP88="","",IF(AP88&lt;=RANGES!$A$8,1,IF(AP88&lt;=RANGES!$A$9,2,IF(AP88&lt;=RANGES!$A$10,3,IF(AP88&lt;=RANGES!$A$11,4,IF(AP88&lt;=RANGES!$A$12,5,IF(AP88&lt;=RANGES!$A$13,6,IF(AP88&lt;=RANGES!$A$14,7,8))))))))</f>
        <v/>
      </c>
      <c r="AK88" s="17" t="str">
        <f ca="1">IFERROR(INDEX(RANGES!$C$7:$H$7,1,IF(AO88&lt;=INDIRECT("RANGES!C"&amp;7+AJ88),1,IF(AO88&lt;=INDIRECT("RANGES!D"&amp;7+AJ88),2,IF(AO88&lt;=INDIRECT("RANGES!E"&amp;7+AJ88),3,IF(AO88&lt;=INDIRECT("RANGES!F"&amp;7+AJ88),4,IF(AO88&lt;=INDIRECT("RANGES!G"&amp;7+AJ88),5,6)))))),"")</f>
        <v/>
      </c>
      <c r="AL88" s="17">
        <f t="shared" si="73"/>
        <v>0</v>
      </c>
      <c r="AM88" s="17" t="str">
        <f t="shared" si="74"/>
        <v/>
      </c>
      <c r="AN88" s="17" t="str">
        <f t="shared" si="80"/>
        <v/>
      </c>
      <c r="AO88" s="17" t="str">
        <f t="shared" si="81"/>
        <v/>
      </c>
      <c r="AP88" s="17" t="str">
        <f t="shared" si="75"/>
        <v/>
      </c>
      <c r="AQ88" s="17" t="str">
        <f t="shared" si="82"/>
        <v/>
      </c>
      <c r="AR88" s="17" t="str">
        <f t="shared" si="83"/>
        <v/>
      </c>
      <c r="AS88" s="17" t="str">
        <f t="shared" si="84"/>
        <v/>
      </c>
      <c r="AT88" s="7" t="str">
        <f t="shared" si="76"/>
        <v/>
      </c>
      <c r="AU88" s="10" t="str">
        <f t="shared" si="85"/>
        <v/>
      </c>
      <c r="AV88" s="7" t="str">
        <f t="shared" si="77"/>
        <v/>
      </c>
      <c r="AW88" s="21" t="str">
        <f t="shared" si="86"/>
        <v/>
      </c>
      <c r="AX88" s="21" t="str">
        <f t="shared" si="78"/>
        <v/>
      </c>
      <c r="AY88" s="7" t="str">
        <f t="shared" si="87"/>
        <v/>
      </c>
      <c r="AZ88" s="7" t="str">
        <f t="shared" si="88"/>
        <v/>
      </c>
    </row>
    <row r="89" spans="1:52" ht="13.2">
      <c r="A89" s="7" t="str">
        <f>HIDDEN!H88</f>
        <v/>
      </c>
      <c r="B89" s="7" t="str">
        <f>IFERROR(MATCH(A89,'3)PACIENTES'!$A$2:$A$97,0),"")</f>
        <v/>
      </c>
      <c r="C89" s="24" t="str">
        <f>IFERROR(INDEX('3)PACIENTES'!D$2:D$97,SAMPLES!$B89),"")</f>
        <v/>
      </c>
      <c r="D89" s="24" t="str">
        <f>IFERROR(INDEX('3)PACIENTES'!B$2:B$97,SAMPLES!$B89),"")</f>
        <v/>
      </c>
      <c r="E89" s="24" t="str">
        <f>IFERROR(INDEX('3)PACIENTES'!$C$2:$C181,SAMPLES!$B89),"")</f>
        <v/>
      </c>
      <c r="F89" s="22">
        <f>'3)PACIENTES'!$F$2</f>
        <v>44039</v>
      </c>
      <c r="G89" s="13" t="str">
        <f>IFERROR(INDEX('3)PACIENTES'!E$2:E$97,SAMPLES!$B89),"")</f>
        <v/>
      </c>
      <c r="H89" s="17" t="str">
        <f t="shared" si="59"/>
        <v/>
      </c>
      <c r="I89" s="17" t="str">
        <f t="shared" si="60"/>
        <v/>
      </c>
      <c r="J89" s="32" t="str">
        <f t="array" ref="J89">IFERROR(INDEX('1)qPCR'!$E$2:$E$97,MATCH(INDEX(HIDDEN!$C$1:$C$96,SMALL(IF(HIDDEN!$B$1:$B$96=$A89&amp;";"&amp;J$1,ROW(HIDDEN!$B$1:$B$96)-ROW(INDEX(HIDDEN!$B$1:$B$96,1,1))+1),J$2)),'1)qPCR'!$A$2:$A$97,0)),"")</f>
        <v/>
      </c>
      <c r="K89" s="32" t="str">
        <f t="array" ref="K89">IFERROR(INDEX('1)qPCR'!$E$2:$E$97,MATCH(INDEX(HIDDEN!$C$1:$C$96,SMALL(IF(HIDDEN!$B$1:$B$96=$A89&amp;";"&amp;K$1,ROW(HIDDEN!$B$1:$B$96)-ROW(INDEX(HIDDEN!$B$1:$B$96,1,1))+1),K$2)),'1)qPCR'!$A$2:$A$97,0)),"")</f>
        <v/>
      </c>
      <c r="L89" s="32" t="str">
        <f t="array" ref="L89">IFERROR(INDEX('1)qPCR'!$E$2:$E$97,MATCH(INDEX(HIDDEN!$C$1:$C$96,SMALL(IF(HIDDEN!$B$1:$B$96=$A89&amp;";"&amp;L$1,ROW(HIDDEN!$B$1:$B$96)-ROW(INDEX(HIDDEN!$B$1:$B$96,1,1))+1),L$2)),'1)qPCR'!$A$2:$A$97,0)),"")</f>
        <v/>
      </c>
      <c r="M89" s="32" t="str">
        <f t="array" ref="M89">IFERROR(INDEX('1)qPCR'!$E$2:$E$97,MATCH(INDEX(HIDDEN!$C$1:$C$96,SMALL(IF(HIDDEN!$B$1:$B$96=$A89&amp;";"&amp;M$1,ROW(HIDDEN!$B$1:$B$96)-ROW(INDEX(HIDDEN!$B$1:$B$96,1,1))+1),M$2)),'1)qPCR'!$A$2:$A$97,0)),"")</f>
        <v/>
      </c>
      <c r="N89" s="32" t="str">
        <f t="array" ref="N89">IFERROR(INDEX('1)qPCR'!$E$2:$E$97,MATCH(INDEX(HIDDEN!$C$1:$C$96,SMALL(IF(HIDDEN!$B$1:$B$96=$A89&amp;";"&amp;N$1,ROW(HIDDEN!$B$1:$B$96)-ROW(INDEX(HIDDEN!$B$1:$B$96,1,1))+1),N$2)),'1)qPCR'!$A$2:$A$97,0)),"")</f>
        <v/>
      </c>
      <c r="O89" s="32" t="str">
        <f t="array" ref="O89">IFERROR(INDEX('1)qPCR'!$E$2:$E$97,MATCH(INDEX(HIDDEN!$C$1:$C$96,SMALL(IF(HIDDEN!$B$1:$B$96=$A89&amp;";"&amp;O$1,ROW(HIDDEN!$B$1:$B$96)-ROW(INDEX(HIDDEN!$B$1:$B$96,1,1))+1),O$2)),'1)qPCR'!$A$2:$A$97,0)),"")</f>
        <v/>
      </c>
      <c r="P89" s="7" t="str">
        <f t="shared" si="61"/>
        <v/>
      </c>
      <c r="Q89" s="18" t="str">
        <f t="shared" si="56"/>
        <v/>
      </c>
      <c r="R89" s="7" t="str">
        <f t="shared" si="62"/>
        <v/>
      </c>
      <c r="S89" s="18" t="str">
        <f t="shared" si="57"/>
        <v/>
      </c>
      <c r="T89" s="10" t="str">
        <f t="shared" si="58"/>
        <v/>
      </c>
      <c r="U89" s="10" t="str">
        <f t="shared" si="63"/>
        <v/>
      </c>
      <c r="V89" s="17" t="str">
        <f t="shared" si="64"/>
        <v/>
      </c>
      <c r="W89" s="17" t="str">
        <f t="shared" si="79"/>
        <v/>
      </c>
      <c r="X89" s="17" t="str">
        <f t="shared" si="49"/>
        <v/>
      </c>
      <c r="Y89" s="17" t="str">
        <f t="shared" si="50"/>
        <v/>
      </c>
      <c r="Z89" s="17" t="str">
        <f t="shared" si="65"/>
        <v/>
      </c>
      <c r="AA89" s="17" t="str">
        <f t="shared" si="66"/>
        <v/>
      </c>
      <c r="AB89" s="17" t="str">
        <f t="shared" si="51"/>
        <v/>
      </c>
      <c r="AC89" s="17" t="str">
        <f t="shared" si="52"/>
        <v/>
      </c>
      <c r="AD89" s="17" t="str">
        <f t="shared" si="67"/>
        <v/>
      </c>
      <c r="AE89" s="17" t="str">
        <f t="shared" si="68"/>
        <v/>
      </c>
      <c r="AF89" s="17" t="str">
        <f t="shared" si="69"/>
        <v/>
      </c>
      <c r="AG89" s="17">
        <f t="shared" si="70"/>
        <v>0</v>
      </c>
      <c r="AH89" s="17">
        <f t="shared" si="71"/>
        <v>0</v>
      </c>
      <c r="AI89" s="17">
        <f t="shared" si="72"/>
        <v>0</v>
      </c>
      <c r="AJ89" s="17" t="str">
        <f>IF(AP89="","",IF(AP89&lt;=RANGES!$A$8,1,IF(AP89&lt;=RANGES!$A$9,2,IF(AP89&lt;=RANGES!$A$10,3,IF(AP89&lt;=RANGES!$A$11,4,IF(AP89&lt;=RANGES!$A$12,5,IF(AP89&lt;=RANGES!$A$13,6,IF(AP89&lt;=RANGES!$A$14,7,8))))))))</f>
        <v/>
      </c>
      <c r="AK89" s="17" t="str">
        <f ca="1">IFERROR(INDEX(RANGES!$C$7:$H$7,1,IF(AO89&lt;=INDIRECT("RANGES!C"&amp;7+AJ89),1,IF(AO89&lt;=INDIRECT("RANGES!D"&amp;7+AJ89),2,IF(AO89&lt;=INDIRECT("RANGES!E"&amp;7+AJ89),3,IF(AO89&lt;=INDIRECT("RANGES!F"&amp;7+AJ89),4,IF(AO89&lt;=INDIRECT("RANGES!G"&amp;7+AJ89),5,6)))))),"")</f>
        <v/>
      </c>
      <c r="AL89" s="17">
        <f t="shared" si="73"/>
        <v>0</v>
      </c>
      <c r="AM89" s="17" t="str">
        <f t="shared" si="74"/>
        <v/>
      </c>
      <c r="AN89" s="17" t="str">
        <f t="shared" si="80"/>
        <v/>
      </c>
      <c r="AO89" s="17" t="str">
        <f t="shared" si="81"/>
        <v/>
      </c>
      <c r="AP89" s="17" t="str">
        <f t="shared" si="75"/>
        <v/>
      </c>
      <c r="AQ89" s="17" t="str">
        <f t="shared" si="82"/>
        <v/>
      </c>
      <c r="AR89" s="17" t="str">
        <f t="shared" si="83"/>
        <v/>
      </c>
      <c r="AS89" s="17" t="str">
        <f t="shared" si="84"/>
        <v/>
      </c>
      <c r="AT89" s="7" t="str">
        <f t="shared" si="76"/>
        <v/>
      </c>
      <c r="AU89" s="10" t="str">
        <f t="shared" si="85"/>
        <v/>
      </c>
      <c r="AV89" s="7" t="str">
        <f t="shared" si="77"/>
        <v/>
      </c>
      <c r="AW89" s="21" t="str">
        <f t="shared" si="86"/>
        <v/>
      </c>
      <c r="AX89" s="21" t="str">
        <f t="shared" si="78"/>
        <v/>
      </c>
      <c r="AY89" s="7" t="str">
        <f t="shared" si="87"/>
        <v/>
      </c>
      <c r="AZ89" s="7" t="str">
        <f t="shared" si="88"/>
        <v/>
      </c>
    </row>
    <row r="90" spans="1:52" ht="13.2">
      <c r="A90" s="7" t="str">
        <f>HIDDEN!H89</f>
        <v/>
      </c>
      <c r="B90" s="7" t="str">
        <f>IFERROR(MATCH(A90,'3)PACIENTES'!$A$2:$A$97,0),"")</f>
        <v/>
      </c>
      <c r="C90" s="24" t="str">
        <f>IFERROR(INDEX('3)PACIENTES'!D$2:D$97,SAMPLES!$B90),"")</f>
        <v/>
      </c>
      <c r="D90" s="24" t="str">
        <f>IFERROR(INDEX('3)PACIENTES'!B$2:B$97,SAMPLES!$B90),"")</f>
        <v/>
      </c>
      <c r="E90" s="24" t="str">
        <f>IFERROR(INDEX('3)PACIENTES'!$C$2:$C182,SAMPLES!$B90),"")</f>
        <v/>
      </c>
      <c r="F90" s="22">
        <f>'3)PACIENTES'!$F$2</f>
        <v>44039</v>
      </c>
      <c r="G90" s="13" t="str">
        <f>IFERROR(INDEX('3)PACIENTES'!E$2:E$97,SAMPLES!$B90),"")</f>
        <v/>
      </c>
      <c r="H90" s="17" t="str">
        <f t="shared" si="59"/>
        <v/>
      </c>
      <c r="I90" s="17" t="str">
        <f t="shared" si="60"/>
        <v/>
      </c>
      <c r="J90" s="32" t="str">
        <f t="array" ref="J90">IFERROR(INDEX('1)qPCR'!$E$2:$E$97,MATCH(INDEX(HIDDEN!$C$1:$C$96,SMALL(IF(HIDDEN!$B$1:$B$96=$A90&amp;";"&amp;J$1,ROW(HIDDEN!$B$1:$B$96)-ROW(INDEX(HIDDEN!$B$1:$B$96,1,1))+1),J$2)),'1)qPCR'!$A$2:$A$97,0)),"")</f>
        <v/>
      </c>
      <c r="K90" s="32" t="str">
        <f t="array" ref="K90">IFERROR(INDEX('1)qPCR'!$E$2:$E$97,MATCH(INDEX(HIDDEN!$C$1:$C$96,SMALL(IF(HIDDEN!$B$1:$B$96=$A90&amp;";"&amp;K$1,ROW(HIDDEN!$B$1:$B$96)-ROW(INDEX(HIDDEN!$B$1:$B$96,1,1))+1),K$2)),'1)qPCR'!$A$2:$A$97,0)),"")</f>
        <v/>
      </c>
      <c r="L90" s="32" t="str">
        <f t="array" ref="L90">IFERROR(INDEX('1)qPCR'!$E$2:$E$97,MATCH(INDEX(HIDDEN!$C$1:$C$96,SMALL(IF(HIDDEN!$B$1:$B$96=$A90&amp;";"&amp;L$1,ROW(HIDDEN!$B$1:$B$96)-ROW(INDEX(HIDDEN!$B$1:$B$96,1,1))+1),L$2)),'1)qPCR'!$A$2:$A$97,0)),"")</f>
        <v/>
      </c>
      <c r="M90" s="32" t="str">
        <f t="array" ref="M90">IFERROR(INDEX('1)qPCR'!$E$2:$E$97,MATCH(INDEX(HIDDEN!$C$1:$C$96,SMALL(IF(HIDDEN!$B$1:$B$96=$A90&amp;";"&amp;M$1,ROW(HIDDEN!$B$1:$B$96)-ROW(INDEX(HIDDEN!$B$1:$B$96,1,1))+1),M$2)),'1)qPCR'!$A$2:$A$97,0)),"")</f>
        <v/>
      </c>
      <c r="N90" s="32" t="str">
        <f t="array" ref="N90">IFERROR(INDEX('1)qPCR'!$E$2:$E$97,MATCH(INDEX(HIDDEN!$C$1:$C$96,SMALL(IF(HIDDEN!$B$1:$B$96=$A90&amp;";"&amp;N$1,ROW(HIDDEN!$B$1:$B$96)-ROW(INDEX(HIDDEN!$B$1:$B$96,1,1))+1),N$2)),'1)qPCR'!$A$2:$A$97,0)),"")</f>
        <v/>
      </c>
      <c r="O90" s="32" t="str">
        <f t="array" ref="O90">IFERROR(INDEX('1)qPCR'!$E$2:$E$97,MATCH(INDEX(HIDDEN!$C$1:$C$96,SMALL(IF(HIDDEN!$B$1:$B$96=$A90&amp;";"&amp;O$1,ROW(HIDDEN!$B$1:$B$96)-ROW(INDEX(HIDDEN!$B$1:$B$96,1,1))+1),O$2)),'1)qPCR'!$A$2:$A$97,0)),"")</f>
        <v/>
      </c>
      <c r="P90" s="7" t="str">
        <f t="shared" si="61"/>
        <v/>
      </c>
      <c r="Q90" s="18" t="str">
        <f t="shared" si="56"/>
        <v/>
      </c>
      <c r="R90" s="7" t="str">
        <f t="shared" si="62"/>
        <v/>
      </c>
      <c r="S90" s="18" t="str">
        <f t="shared" si="57"/>
        <v/>
      </c>
      <c r="T90" s="10" t="str">
        <f t="shared" si="58"/>
        <v/>
      </c>
      <c r="U90" s="10" t="str">
        <f t="shared" si="63"/>
        <v/>
      </c>
      <c r="V90" s="17" t="str">
        <f t="shared" si="64"/>
        <v/>
      </c>
      <c r="W90" s="17" t="str">
        <f t="shared" si="79"/>
        <v/>
      </c>
      <c r="X90" s="17" t="str">
        <f t="shared" si="49"/>
        <v/>
      </c>
      <c r="Y90" s="17" t="str">
        <f t="shared" si="50"/>
        <v/>
      </c>
      <c r="Z90" s="17" t="str">
        <f t="shared" si="65"/>
        <v/>
      </c>
      <c r="AA90" s="17" t="str">
        <f t="shared" si="66"/>
        <v/>
      </c>
      <c r="AB90" s="17" t="str">
        <f t="shared" si="51"/>
        <v/>
      </c>
      <c r="AC90" s="17" t="str">
        <f t="shared" si="52"/>
        <v/>
      </c>
      <c r="AD90" s="17" t="str">
        <f t="shared" si="67"/>
        <v/>
      </c>
      <c r="AE90" s="17" t="str">
        <f t="shared" si="68"/>
        <v/>
      </c>
      <c r="AF90" s="17" t="str">
        <f t="shared" si="69"/>
        <v/>
      </c>
      <c r="AG90" s="17">
        <f t="shared" si="70"/>
        <v>0</v>
      </c>
      <c r="AH90" s="17">
        <f t="shared" si="71"/>
        <v>0</v>
      </c>
      <c r="AI90" s="17">
        <f t="shared" si="72"/>
        <v>0</v>
      </c>
      <c r="AJ90" s="17" t="str">
        <f>IF(AP90="","",IF(AP90&lt;=RANGES!$A$8,1,IF(AP90&lt;=RANGES!$A$9,2,IF(AP90&lt;=RANGES!$A$10,3,IF(AP90&lt;=RANGES!$A$11,4,IF(AP90&lt;=RANGES!$A$12,5,IF(AP90&lt;=RANGES!$A$13,6,IF(AP90&lt;=RANGES!$A$14,7,8))))))))</f>
        <v/>
      </c>
      <c r="AK90" s="17" t="str">
        <f ca="1">IFERROR(INDEX(RANGES!$C$7:$H$7,1,IF(AO90&lt;=INDIRECT("RANGES!C"&amp;7+AJ90),1,IF(AO90&lt;=INDIRECT("RANGES!D"&amp;7+AJ90),2,IF(AO90&lt;=INDIRECT("RANGES!E"&amp;7+AJ90),3,IF(AO90&lt;=INDIRECT("RANGES!F"&amp;7+AJ90),4,IF(AO90&lt;=INDIRECT("RANGES!G"&amp;7+AJ90),5,6)))))),"")</f>
        <v/>
      </c>
      <c r="AL90" s="17">
        <f t="shared" si="73"/>
        <v>0</v>
      </c>
      <c r="AM90" s="17" t="str">
        <f t="shared" si="74"/>
        <v/>
      </c>
      <c r="AN90" s="17" t="str">
        <f t="shared" si="80"/>
        <v/>
      </c>
      <c r="AO90" s="17" t="str">
        <f t="shared" si="81"/>
        <v/>
      </c>
      <c r="AP90" s="17" t="str">
        <f t="shared" si="75"/>
        <v/>
      </c>
      <c r="AQ90" s="17" t="str">
        <f t="shared" si="82"/>
        <v/>
      </c>
      <c r="AR90" s="17" t="str">
        <f t="shared" si="83"/>
        <v/>
      </c>
      <c r="AS90" s="17" t="str">
        <f t="shared" si="84"/>
        <v/>
      </c>
      <c r="AT90" s="7" t="str">
        <f t="shared" si="76"/>
        <v/>
      </c>
      <c r="AU90" s="10" t="str">
        <f t="shared" si="85"/>
        <v/>
      </c>
      <c r="AV90" s="7" t="str">
        <f t="shared" si="77"/>
        <v/>
      </c>
      <c r="AW90" s="21" t="str">
        <f t="shared" si="86"/>
        <v/>
      </c>
      <c r="AX90" s="21" t="str">
        <f t="shared" si="78"/>
        <v/>
      </c>
      <c r="AY90" s="7" t="str">
        <f t="shared" si="87"/>
        <v/>
      </c>
      <c r="AZ90" s="7" t="str">
        <f t="shared" si="88"/>
        <v/>
      </c>
    </row>
    <row r="91" spans="1:52" ht="13.2">
      <c r="A91" s="7" t="str">
        <f>HIDDEN!H90</f>
        <v/>
      </c>
      <c r="B91" s="7" t="str">
        <f>IFERROR(MATCH(A91,'3)PACIENTES'!$A$2:$A$97,0),"")</f>
        <v/>
      </c>
      <c r="C91" s="24" t="str">
        <f>IFERROR(INDEX('3)PACIENTES'!D$2:D$97,SAMPLES!$B91),"")</f>
        <v/>
      </c>
      <c r="D91" s="24" t="str">
        <f>IFERROR(INDEX('3)PACIENTES'!B$2:B$97,SAMPLES!$B91),"")</f>
        <v/>
      </c>
      <c r="E91" s="24" t="str">
        <f>IFERROR(INDEX('3)PACIENTES'!$C$2:$C183,SAMPLES!$B91),"")</f>
        <v/>
      </c>
      <c r="F91" s="22">
        <f>'3)PACIENTES'!$F$2</f>
        <v>44039</v>
      </c>
      <c r="G91" s="13" t="str">
        <f>IFERROR(INDEX('3)PACIENTES'!E$2:E$97,SAMPLES!$B91),"")</f>
        <v/>
      </c>
      <c r="H91" s="17" t="str">
        <f t="shared" si="59"/>
        <v/>
      </c>
      <c r="I91" s="17" t="str">
        <f t="shared" si="60"/>
        <v/>
      </c>
      <c r="J91" s="32" t="str">
        <f t="array" ref="J91">IFERROR(INDEX('1)qPCR'!$E$2:$E$97,MATCH(INDEX(HIDDEN!$C$1:$C$96,SMALL(IF(HIDDEN!$B$1:$B$96=$A91&amp;";"&amp;J$1,ROW(HIDDEN!$B$1:$B$96)-ROW(INDEX(HIDDEN!$B$1:$B$96,1,1))+1),J$2)),'1)qPCR'!$A$2:$A$97,0)),"")</f>
        <v/>
      </c>
      <c r="K91" s="32" t="str">
        <f t="array" ref="K91">IFERROR(INDEX('1)qPCR'!$E$2:$E$97,MATCH(INDEX(HIDDEN!$C$1:$C$96,SMALL(IF(HIDDEN!$B$1:$B$96=$A91&amp;";"&amp;K$1,ROW(HIDDEN!$B$1:$B$96)-ROW(INDEX(HIDDEN!$B$1:$B$96,1,1))+1),K$2)),'1)qPCR'!$A$2:$A$97,0)),"")</f>
        <v/>
      </c>
      <c r="L91" s="32" t="str">
        <f t="array" ref="L91">IFERROR(INDEX('1)qPCR'!$E$2:$E$97,MATCH(INDEX(HIDDEN!$C$1:$C$96,SMALL(IF(HIDDEN!$B$1:$B$96=$A91&amp;";"&amp;L$1,ROW(HIDDEN!$B$1:$B$96)-ROW(INDEX(HIDDEN!$B$1:$B$96,1,1))+1),L$2)),'1)qPCR'!$A$2:$A$97,0)),"")</f>
        <v/>
      </c>
      <c r="M91" s="32" t="str">
        <f t="array" ref="M91">IFERROR(INDEX('1)qPCR'!$E$2:$E$97,MATCH(INDEX(HIDDEN!$C$1:$C$96,SMALL(IF(HIDDEN!$B$1:$B$96=$A91&amp;";"&amp;M$1,ROW(HIDDEN!$B$1:$B$96)-ROW(INDEX(HIDDEN!$B$1:$B$96,1,1))+1),M$2)),'1)qPCR'!$A$2:$A$97,0)),"")</f>
        <v/>
      </c>
      <c r="N91" s="32" t="str">
        <f t="array" ref="N91">IFERROR(INDEX('1)qPCR'!$E$2:$E$97,MATCH(INDEX(HIDDEN!$C$1:$C$96,SMALL(IF(HIDDEN!$B$1:$B$96=$A91&amp;";"&amp;N$1,ROW(HIDDEN!$B$1:$B$96)-ROW(INDEX(HIDDEN!$B$1:$B$96,1,1))+1),N$2)),'1)qPCR'!$A$2:$A$97,0)),"")</f>
        <v/>
      </c>
      <c r="O91" s="32" t="str">
        <f t="array" ref="O91">IFERROR(INDEX('1)qPCR'!$E$2:$E$97,MATCH(INDEX(HIDDEN!$C$1:$C$96,SMALL(IF(HIDDEN!$B$1:$B$96=$A91&amp;";"&amp;O$1,ROW(HIDDEN!$B$1:$B$96)-ROW(INDEX(HIDDEN!$B$1:$B$96,1,1))+1),O$2)),'1)qPCR'!$A$2:$A$97,0)),"")</f>
        <v/>
      </c>
      <c r="P91" s="7" t="str">
        <f t="shared" si="61"/>
        <v/>
      </c>
      <c r="Q91" s="18" t="str">
        <f t="shared" si="56"/>
        <v/>
      </c>
      <c r="R91" s="7" t="str">
        <f t="shared" si="62"/>
        <v/>
      </c>
      <c r="S91" s="18" t="str">
        <f t="shared" si="57"/>
        <v/>
      </c>
      <c r="T91" s="10" t="str">
        <f t="shared" si="58"/>
        <v/>
      </c>
      <c r="U91" s="10" t="str">
        <f t="shared" si="63"/>
        <v/>
      </c>
      <c r="V91" s="17" t="str">
        <f t="shared" si="64"/>
        <v/>
      </c>
      <c r="W91" s="17" t="str">
        <f t="shared" si="79"/>
        <v/>
      </c>
      <c r="X91" s="17" t="str">
        <f t="shared" si="49"/>
        <v/>
      </c>
      <c r="Y91" s="17" t="str">
        <f t="shared" si="50"/>
        <v/>
      </c>
      <c r="Z91" s="17" t="str">
        <f t="shared" si="65"/>
        <v/>
      </c>
      <c r="AA91" s="17" t="str">
        <f t="shared" si="66"/>
        <v/>
      </c>
      <c r="AB91" s="17" t="str">
        <f t="shared" si="51"/>
        <v/>
      </c>
      <c r="AC91" s="17" t="str">
        <f t="shared" si="52"/>
        <v/>
      </c>
      <c r="AD91" s="17" t="str">
        <f t="shared" si="67"/>
        <v/>
      </c>
      <c r="AE91" s="17" t="str">
        <f t="shared" si="68"/>
        <v/>
      </c>
      <c r="AF91" s="17" t="str">
        <f t="shared" si="69"/>
        <v/>
      </c>
      <c r="AG91" s="17">
        <f t="shared" si="70"/>
        <v>0</v>
      </c>
      <c r="AH91" s="17">
        <f t="shared" si="71"/>
        <v>0</v>
      </c>
      <c r="AI91" s="17">
        <f t="shared" si="72"/>
        <v>0</v>
      </c>
      <c r="AJ91" s="17" t="str">
        <f>IF(AP91="","",IF(AP91&lt;=RANGES!$A$8,1,IF(AP91&lt;=RANGES!$A$9,2,IF(AP91&lt;=RANGES!$A$10,3,IF(AP91&lt;=RANGES!$A$11,4,IF(AP91&lt;=RANGES!$A$12,5,IF(AP91&lt;=RANGES!$A$13,6,IF(AP91&lt;=RANGES!$A$14,7,8))))))))</f>
        <v/>
      </c>
      <c r="AK91" s="17" t="str">
        <f ca="1">IFERROR(INDEX(RANGES!$C$7:$H$7,1,IF(AO91&lt;=INDIRECT("RANGES!C"&amp;7+AJ91),1,IF(AO91&lt;=INDIRECT("RANGES!D"&amp;7+AJ91),2,IF(AO91&lt;=INDIRECT("RANGES!E"&amp;7+AJ91),3,IF(AO91&lt;=INDIRECT("RANGES!F"&amp;7+AJ91),4,IF(AO91&lt;=INDIRECT("RANGES!G"&amp;7+AJ91),5,6)))))),"")</f>
        <v/>
      </c>
      <c r="AL91" s="17">
        <f t="shared" si="73"/>
        <v>0</v>
      </c>
      <c r="AM91" s="17" t="str">
        <f t="shared" si="74"/>
        <v/>
      </c>
      <c r="AN91" s="17" t="str">
        <f t="shared" si="80"/>
        <v/>
      </c>
      <c r="AO91" s="17" t="str">
        <f t="shared" si="81"/>
        <v/>
      </c>
      <c r="AP91" s="17" t="str">
        <f t="shared" si="75"/>
        <v/>
      </c>
      <c r="AQ91" s="17" t="str">
        <f t="shared" si="82"/>
        <v/>
      </c>
      <c r="AR91" s="17" t="str">
        <f t="shared" si="83"/>
        <v/>
      </c>
      <c r="AS91" s="17" t="str">
        <f t="shared" si="84"/>
        <v/>
      </c>
      <c r="AT91" s="7" t="str">
        <f t="shared" si="76"/>
        <v/>
      </c>
      <c r="AU91" s="10" t="str">
        <f t="shared" si="85"/>
        <v/>
      </c>
      <c r="AV91" s="7" t="str">
        <f t="shared" si="77"/>
        <v/>
      </c>
      <c r="AW91" s="21" t="str">
        <f t="shared" si="86"/>
        <v/>
      </c>
      <c r="AX91" s="21" t="str">
        <f t="shared" si="78"/>
        <v/>
      </c>
      <c r="AY91" s="7" t="str">
        <f t="shared" si="87"/>
        <v/>
      </c>
      <c r="AZ91" s="7" t="str">
        <f t="shared" si="88"/>
        <v/>
      </c>
    </row>
    <row r="92" spans="1:52" ht="13.2">
      <c r="A92" s="7" t="str">
        <f>HIDDEN!H91</f>
        <v/>
      </c>
      <c r="B92" s="7" t="str">
        <f>IFERROR(MATCH(A92,'3)PACIENTES'!$A$2:$A$97,0),"")</f>
        <v/>
      </c>
      <c r="C92" s="24" t="str">
        <f>IFERROR(INDEX('3)PACIENTES'!D$2:D$97,SAMPLES!$B92),"")</f>
        <v/>
      </c>
      <c r="D92" s="24" t="str">
        <f>IFERROR(INDEX('3)PACIENTES'!B$2:B$97,SAMPLES!$B92),"")</f>
        <v/>
      </c>
      <c r="E92" s="24" t="str">
        <f>IFERROR(INDEX('3)PACIENTES'!$C$2:$C184,SAMPLES!$B92),"")</f>
        <v/>
      </c>
      <c r="F92" s="22">
        <f>'3)PACIENTES'!$F$2</f>
        <v>44039</v>
      </c>
      <c r="G92" s="13" t="str">
        <f>IFERROR(INDEX('3)PACIENTES'!E$2:E$97,SAMPLES!$B92),"")</f>
        <v/>
      </c>
      <c r="H92" s="17" t="str">
        <f t="shared" si="59"/>
        <v/>
      </c>
      <c r="I92" s="17" t="str">
        <f t="shared" si="60"/>
        <v/>
      </c>
      <c r="J92" s="32" t="str">
        <f t="array" ref="J92">IFERROR(INDEX('1)qPCR'!$E$2:$E$97,MATCH(INDEX(HIDDEN!$C$1:$C$96,SMALL(IF(HIDDEN!$B$1:$B$96=$A92&amp;";"&amp;J$1,ROW(HIDDEN!$B$1:$B$96)-ROW(INDEX(HIDDEN!$B$1:$B$96,1,1))+1),J$2)),'1)qPCR'!$A$2:$A$97,0)),"")</f>
        <v/>
      </c>
      <c r="K92" s="32" t="str">
        <f t="array" ref="K92">IFERROR(INDEX('1)qPCR'!$E$2:$E$97,MATCH(INDEX(HIDDEN!$C$1:$C$96,SMALL(IF(HIDDEN!$B$1:$B$96=$A92&amp;";"&amp;K$1,ROW(HIDDEN!$B$1:$B$96)-ROW(INDEX(HIDDEN!$B$1:$B$96,1,1))+1),K$2)),'1)qPCR'!$A$2:$A$97,0)),"")</f>
        <v/>
      </c>
      <c r="L92" s="32" t="str">
        <f t="array" ref="L92">IFERROR(INDEX('1)qPCR'!$E$2:$E$97,MATCH(INDEX(HIDDEN!$C$1:$C$96,SMALL(IF(HIDDEN!$B$1:$B$96=$A92&amp;";"&amp;L$1,ROW(HIDDEN!$B$1:$B$96)-ROW(INDEX(HIDDEN!$B$1:$B$96,1,1))+1),L$2)),'1)qPCR'!$A$2:$A$97,0)),"")</f>
        <v/>
      </c>
      <c r="M92" s="32" t="str">
        <f t="array" ref="M92">IFERROR(INDEX('1)qPCR'!$E$2:$E$97,MATCH(INDEX(HIDDEN!$C$1:$C$96,SMALL(IF(HIDDEN!$B$1:$B$96=$A92&amp;";"&amp;M$1,ROW(HIDDEN!$B$1:$B$96)-ROW(INDEX(HIDDEN!$B$1:$B$96,1,1))+1),M$2)),'1)qPCR'!$A$2:$A$97,0)),"")</f>
        <v/>
      </c>
      <c r="N92" s="32" t="str">
        <f t="array" ref="N92">IFERROR(INDEX('1)qPCR'!$E$2:$E$97,MATCH(INDEX(HIDDEN!$C$1:$C$96,SMALL(IF(HIDDEN!$B$1:$B$96=$A92&amp;";"&amp;N$1,ROW(HIDDEN!$B$1:$B$96)-ROW(INDEX(HIDDEN!$B$1:$B$96,1,1))+1),N$2)),'1)qPCR'!$A$2:$A$97,0)),"")</f>
        <v/>
      </c>
      <c r="O92" s="32" t="str">
        <f t="array" ref="O92">IFERROR(INDEX('1)qPCR'!$E$2:$E$97,MATCH(INDEX(HIDDEN!$C$1:$C$96,SMALL(IF(HIDDEN!$B$1:$B$96=$A92&amp;";"&amp;O$1,ROW(HIDDEN!$B$1:$B$96)-ROW(INDEX(HIDDEN!$B$1:$B$96,1,1))+1),O$2)),'1)qPCR'!$A$2:$A$97,0)),"")</f>
        <v/>
      </c>
      <c r="P92" s="7" t="str">
        <f t="shared" si="61"/>
        <v/>
      </c>
      <c r="Q92" s="18" t="str">
        <f t="shared" si="56"/>
        <v/>
      </c>
      <c r="R92" s="7" t="str">
        <f t="shared" si="62"/>
        <v/>
      </c>
      <c r="S92" s="18" t="str">
        <f t="shared" si="57"/>
        <v/>
      </c>
      <c r="T92" s="10" t="str">
        <f t="shared" si="58"/>
        <v/>
      </c>
      <c r="U92" s="10" t="str">
        <f t="shared" si="63"/>
        <v/>
      </c>
      <c r="V92" s="17" t="str">
        <f t="shared" si="64"/>
        <v/>
      </c>
      <c r="W92" s="17" t="str">
        <f t="shared" si="79"/>
        <v/>
      </c>
      <c r="X92" s="17" t="str">
        <f t="shared" si="49"/>
        <v/>
      </c>
      <c r="Y92" s="17" t="str">
        <f t="shared" si="50"/>
        <v/>
      </c>
      <c r="Z92" s="17" t="str">
        <f t="shared" si="65"/>
        <v/>
      </c>
      <c r="AA92" s="17" t="str">
        <f t="shared" si="66"/>
        <v/>
      </c>
      <c r="AB92" s="17" t="str">
        <f t="shared" si="51"/>
        <v/>
      </c>
      <c r="AC92" s="17" t="str">
        <f t="shared" si="52"/>
        <v/>
      </c>
      <c r="AD92" s="17" t="str">
        <f t="shared" si="67"/>
        <v/>
      </c>
      <c r="AE92" s="17" t="str">
        <f t="shared" si="68"/>
        <v/>
      </c>
      <c r="AF92" s="17" t="str">
        <f t="shared" si="69"/>
        <v/>
      </c>
      <c r="AG92" s="17">
        <f t="shared" si="70"/>
        <v>0</v>
      </c>
      <c r="AH92" s="17">
        <f t="shared" si="71"/>
        <v>0</v>
      </c>
      <c r="AI92" s="17">
        <f t="shared" si="72"/>
        <v>0</v>
      </c>
      <c r="AJ92" s="17" t="str">
        <f>IF(AP92="","",IF(AP92&lt;=RANGES!$A$8,1,IF(AP92&lt;=RANGES!$A$9,2,IF(AP92&lt;=RANGES!$A$10,3,IF(AP92&lt;=RANGES!$A$11,4,IF(AP92&lt;=RANGES!$A$12,5,IF(AP92&lt;=RANGES!$A$13,6,IF(AP92&lt;=RANGES!$A$14,7,8))))))))</f>
        <v/>
      </c>
      <c r="AK92" s="17" t="str">
        <f ca="1">IFERROR(INDEX(RANGES!$C$7:$H$7,1,IF(AO92&lt;=INDIRECT("RANGES!C"&amp;7+AJ92),1,IF(AO92&lt;=INDIRECT("RANGES!D"&amp;7+AJ92),2,IF(AO92&lt;=INDIRECT("RANGES!E"&amp;7+AJ92),3,IF(AO92&lt;=INDIRECT("RANGES!F"&amp;7+AJ92),4,IF(AO92&lt;=INDIRECT("RANGES!G"&amp;7+AJ92),5,6)))))),"")</f>
        <v/>
      </c>
      <c r="AL92" s="17">
        <f t="shared" si="73"/>
        <v>0</v>
      </c>
      <c r="AM92" s="17" t="str">
        <f t="shared" si="74"/>
        <v/>
      </c>
      <c r="AN92" s="17" t="str">
        <f t="shared" si="80"/>
        <v/>
      </c>
      <c r="AO92" s="17" t="str">
        <f t="shared" si="81"/>
        <v/>
      </c>
      <c r="AP92" s="17" t="str">
        <f t="shared" si="75"/>
        <v/>
      </c>
      <c r="AQ92" s="17" t="str">
        <f t="shared" si="82"/>
        <v/>
      </c>
      <c r="AR92" s="17" t="str">
        <f t="shared" si="83"/>
        <v/>
      </c>
      <c r="AS92" s="17" t="str">
        <f t="shared" si="84"/>
        <v/>
      </c>
      <c r="AT92" s="7" t="str">
        <f t="shared" si="76"/>
        <v/>
      </c>
      <c r="AU92" s="10" t="str">
        <f t="shared" si="85"/>
        <v/>
      </c>
      <c r="AV92" s="7" t="str">
        <f t="shared" si="77"/>
        <v/>
      </c>
      <c r="AW92" s="21" t="str">
        <f t="shared" si="86"/>
        <v/>
      </c>
      <c r="AX92" s="21" t="str">
        <f t="shared" si="78"/>
        <v/>
      </c>
      <c r="AY92" s="7" t="str">
        <f t="shared" si="87"/>
        <v/>
      </c>
      <c r="AZ92" s="7" t="str">
        <f t="shared" si="88"/>
        <v/>
      </c>
    </row>
    <row r="93" spans="1:52" ht="13.2">
      <c r="A93" s="7" t="str">
        <f>HIDDEN!H92</f>
        <v/>
      </c>
      <c r="B93" s="7" t="str">
        <f>IFERROR(MATCH(A93,'3)PACIENTES'!$A$2:$A$97,0),"")</f>
        <v/>
      </c>
      <c r="C93" s="24" t="str">
        <f>IFERROR(INDEX('3)PACIENTES'!D$2:D$97,SAMPLES!$B93),"")</f>
        <v/>
      </c>
      <c r="D93" s="24" t="str">
        <f>IFERROR(INDEX('3)PACIENTES'!B$2:B$97,SAMPLES!$B93),"")</f>
        <v/>
      </c>
      <c r="E93" s="24" t="str">
        <f>IFERROR(INDEX('3)PACIENTES'!$C$2:$C185,SAMPLES!$B93),"")</f>
        <v/>
      </c>
      <c r="F93" s="22">
        <f>'3)PACIENTES'!$F$2</f>
        <v>44039</v>
      </c>
      <c r="G93" s="13" t="str">
        <f>IFERROR(INDEX('3)PACIENTES'!E$2:E$97,SAMPLES!$B93),"")</f>
        <v/>
      </c>
      <c r="H93" s="17" t="str">
        <f t="shared" si="59"/>
        <v/>
      </c>
      <c r="I93" s="17" t="str">
        <f t="shared" si="60"/>
        <v/>
      </c>
      <c r="J93" s="32" t="str">
        <f t="array" ref="J93">IFERROR(INDEX('1)qPCR'!$E$2:$E$97,MATCH(INDEX(HIDDEN!$C$1:$C$96,SMALL(IF(HIDDEN!$B$1:$B$96=$A93&amp;";"&amp;J$1,ROW(HIDDEN!$B$1:$B$96)-ROW(INDEX(HIDDEN!$B$1:$B$96,1,1))+1),J$2)),'1)qPCR'!$A$2:$A$97,0)),"")</f>
        <v/>
      </c>
      <c r="K93" s="32" t="str">
        <f t="array" ref="K93">IFERROR(INDEX('1)qPCR'!$E$2:$E$97,MATCH(INDEX(HIDDEN!$C$1:$C$96,SMALL(IF(HIDDEN!$B$1:$B$96=$A93&amp;";"&amp;K$1,ROW(HIDDEN!$B$1:$B$96)-ROW(INDEX(HIDDEN!$B$1:$B$96,1,1))+1),K$2)),'1)qPCR'!$A$2:$A$97,0)),"")</f>
        <v/>
      </c>
      <c r="L93" s="32" t="str">
        <f t="array" ref="L93">IFERROR(INDEX('1)qPCR'!$E$2:$E$97,MATCH(INDEX(HIDDEN!$C$1:$C$96,SMALL(IF(HIDDEN!$B$1:$B$96=$A93&amp;";"&amp;L$1,ROW(HIDDEN!$B$1:$B$96)-ROW(INDEX(HIDDEN!$B$1:$B$96,1,1))+1),L$2)),'1)qPCR'!$A$2:$A$97,0)),"")</f>
        <v/>
      </c>
      <c r="M93" s="32" t="str">
        <f t="array" ref="M93">IFERROR(INDEX('1)qPCR'!$E$2:$E$97,MATCH(INDEX(HIDDEN!$C$1:$C$96,SMALL(IF(HIDDEN!$B$1:$B$96=$A93&amp;";"&amp;M$1,ROW(HIDDEN!$B$1:$B$96)-ROW(INDEX(HIDDEN!$B$1:$B$96,1,1))+1),M$2)),'1)qPCR'!$A$2:$A$97,0)),"")</f>
        <v/>
      </c>
      <c r="N93" s="32" t="str">
        <f t="array" ref="N93">IFERROR(INDEX('1)qPCR'!$E$2:$E$97,MATCH(INDEX(HIDDEN!$C$1:$C$96,SMALL(IF(HIDDEN!$B$1:$B$96=$A93&amp;";"&amp;N$1,ROW(HIDDEN!$B$1:$B$96)-ROW(INDEX(HIDDEN!$B$1:$B$96,1,1))+1),N$2)),'1)qPCR'!$A$2:$A$97,0)),"")</f>
        <v/>
      </c>
      <c r="O93" s="32" t="str">
        <f t="array" ref="O93">IFERROR(INDEX('1)qPCR'!$E$2:$E$97,MATCH(INDEX(HIDDEN!$C$1:$C$96,SMALL(IF(HIDDEN!$B$1:$B$96=$A93&amp;";"&amp;O$1,ROW(HIDDEN!$B$1:$B$96)-ROW(INDEX(HIDDEN!$B$1:$B$96,1,1))+1),O$2)),'1)qPCR'!$A$2:$A$97,0)),"")</f>
        <v/>
      </c>
      <c r="P93" s="7" t="str">
        <f t="shared" si="61"/>
        <v/>
      </c>
      <c r="Q93" s="18" t="str">
        <f t="shared" si="56"/>
        <v/>
      </c>
      <c r="R93" s="7" t="str">
        <f t="shared" si="62"/>
        <v/>
      </c>
      <c r="S93" s="18" t="str">
        <f t="shared" si="57"/>
        <v/>
      </c>
      <c r="T93" s="10" t="str">
        <f t="shared" si="58"/>
        <v/>
      </c>
      <c r="U93" s="10" t="str">
        <f t="shared" si="63"/>
        <v/>
      </c>
      <c r="V93" s="17" t="str">
        <f t="shared" si="64"/>
        <v/>
      </c>
      <c r="W93" s="17" t="str">
        <f t="shared" si="79"/>
        <v/>
      </c>
      <c r="X93" s="17" t="str">
        <f t="shared" si="49"/>
        <v/>
      </c>
      <c r="Y93" s="17" t="str">
        <f t="shared" si="50"/>
        <v/>
      </c>
      <c r="Z93" s="17" t="str">
        <f t="shared" si="65"/>
        <v/>
      </c>
      <c r="AA93" s="17" t="str">
        <f t="shared" si="66"/>
        <v/>
      </c>
      <c r="AB93" s="17" t="str">
        <f t="shared" si="51"/>
        <v/>
      </c>
      <c r="AC93" s="17" t="str">
        <f t="shared" si="52"/>
        <v/>
      </c>
      <c r="AD93" s="17" t="str">
        <f t="shared" si="67"/>
        <v/>
      </c>
      <c r="AE93" s="17" t="str">
        <f t="shared" si="68"/>
        <v/>
      </c>
      <c r="AF93" s="17" t="str">
        <f t="shared" si="69"/>
        <v/>
      </c>
      <c r="AG93" s="17">
        <f t="shared" si="70"/>
        <v>0</v>
      </c>
      <c r="AH93" s="17">
        <f t="shared" si="71"/>
        <v>0</v>
      </c>
      <c r="AI93" s="17">
        <f t="shared" si="72"/>
        <v>0</v>
      </c>
      <c r="AJ93" s="17" t="str">
        <f>IF(AP93="","",IF(AP93&lt;=RANGES!$A$8,1,IF(AP93&lt;=RANGES!$A$9,2,IF(AP93&lt;=RANGES!$A$10,3,IF(AP93&lt;=RANGES!$A$11,4,IF(AP93&lt;=RANGES!$A$12,5,IF(AP93&lt;=RANGES!$A$13,6,IF(AP93&lt;=RANGES!$A$14,7,8))))))))</f>
        <v/>
      </c>
      <c r="AK93" s="17" t="str">
        <f ca="1">IFERROR(INDEX(RANGES!$C$7:$H$7,1,IF(AO93&lt;=INDIRECT("RANGES!C"&amp;7+AJ93),1,IF(AO93&lt;=INDIRECT("RANGES!D"&amp;7+AJ93),2,IF(AO93&lt;=INDIRECT("RANGES!E"&amp;7+AJ93),3,IF(AO93&lt;=INDIRECT("RANGES!F"&amp;7+AJ93),4,IF(AO93&lt;=INDIRECT("RANGES!G"&amp;7+AJ93),5,6)))))),"")</f>
        <v/>
      </c>
      <c r="AL93" s="17">
        <f t="shared" si="73"/>
        <v>0</v>
      </c>
      <c r="AM93" s="17" t="str">
        <f t="shared" si="74"/>
        <v/>
      </c>
      <c r="AN93" s="17" t="str">
        <f t="shared" si="80"/>
        <v/>
      </c>
      <c r="AO93" s="17" t="str">
        <f t="shared" si="81"/>
        <v/>
      </c>
      <c r="AP93" s="17" t="str">
        <f t="shared" si="75"/>
        <v/>
      </c>
      <c r="AQ93" s="17" t="str">
        <f t="shared" si="82"/>
        <v/>
      </c>
      <c r="AR93" s="17" t="str">
        <f t="shared" si="83"/>
        <v/>
      </c>
      <c r="AS93" s="17" t="str">
        <f t="shared" si="84"/>
        <v/>
      </c>
      <c r="AT93" s="7" t="str">
        <f t="shared" si="76"/>
        <v/>
      </c>
      <c r="AU93" s="10" t="str">
        <f t="shared" si="85"/>
        <v/>
      </c>
      <c r="AV93" s="7" t="str">
        <f t="shared" si="77"/>
        <v/>
      </c>
      <c r="AW93" s="21" t="str">
        <f t="shared" si="86"/>
        <v/>
      </c>
      <c r="AX93" s="21" t="str">
        <f t="shared" si="78"/>
        <v/>
      </c>
      <c r="AY93" s="7" t="str">
        <f t="shared" si="87"/>
        <v/>
      </c>
      <c r="AZ93" s="7" t="str">
        <f t="shared" si="88"/>
        <v/>
      </c>
    </row>
    <row r="94" spans="1:52" ht="13.2">
      <c r="A94" s="7" t="str">
        <f>HIDDEN!H93</f>
        <v/>
      </c>
      <c r="B94" s="7" t="str">
        <f>IFERROR(MATCH(A94,'3)PACIENTES'!$A$2:$A$97,0),"")</f>
        <v/>
      </c>
      <c r="C94" s="24" t="str">
        <f>IFERROR(INDEX('3)PACIENTES'!D$2:D$97,SAMPLES!$B94),"")</f>
        <v/>
      </c>
      <c r="D94" s="24" t="str">
        <f>IFERROR(INDEX('3)PACIENTES'!B$2:B$97,SAMPLES!$B94),"")</f>
        <v/>
      </c>
      <c r="E94" s="24" t="str">
        <f>IFERROR(INDEX('3)PACIENTES'!$C$2:$C186,SAMPLES!$B94),"")</f>
        <v/>
      </c>
      <c r="F94" s="22">
        <f>'3)PACIENTES'!$F$2</f>
        <v>44039</v>
      </c>
      <c r="G94" s="13" t="str">
        <f>IFERROR(INDEX('3)PACIENTES'!E$2:E$97,SAMPLES!$B94),"")</f>
        <v/>
      </c>
      <c r="H94" s="17" t="str">
        <f t="shared" si="59"/>
        <v/>
      </c>
      <c r="I94" s="17" t="str">
        <f t="shared" si="60"/>
        <v/>
      </c>
      <c r="J94" s="32" t="str">
        <f t="array" ref="J94">IFERROR(INDEX('1)qPCR'!$E$2:$E$97,MATCH(INDEX(HIDDEN!$C$1:$C$96,SMALL(IF(HIDDEN!$B$1:$B$96=$A94&amp;";"&amp;J$1,ROW(HIDDEN!$B$1:$B$96)-ROW(INDEX(HIDDEN!$B$1:$B$96,1,1))+1),J$2)),'1)qPCR'!$A$2:$A$97,0)),"")</f>
        <v/>
      </c>
      <c r="K94" s="32" t="str">
        <f t="array" ref="K94">IFERROR(INDEX('1)qPCR'!$E$2:$E$97,MATCH(INDEX(HIDDEN!$C$1:$C$96,SMALL(IF(HIDDEN!$B$1:$B$96=$A94&amp;";"&amp;K$1,ROW(HIDDEN!$B$1:$B$96)-ROW(INDEX(HIDDEN!$B$1:$B$96,1,1))+1),K$2)),'1)qPCR'!$A$2:$A$97,0)),"")</f>
        <v/>
      </c>
      <c r="L94" s="32" t="str">
        <f t="array" ref="L94">IFERROR(INDEX('1)qPCR'!$E$2:$E$97,MATCH(INDEX(HIDDEN!$C$1:$C$96,SMALL(IF(HIDDEN!$B$1:$B$96=$A94&amp;";"&amp;L$1,ROW(HIDDEN!$B$1:$B$96)-ROW(INDEX(HIDDEN!$B$1:$B$96,1,1))+1),L$2)),'1)qPCR'!$A$2:$A$97,0)),"")</f>
        <v/>
      </c>
      <c r="M94" s="32" t="str">
        <f t="array" ref="M94">IFERROR(INDEX('1)qPCR'!$E$2:$E$97,MATCH(INDEX(HIDDEN!$C$1:$C$96,SMALL(IF(HIDDEN!$B$1:$B$96=$A94&amp;";"&amp;M$1,ROW(HIDDEN!$B$1:$B$96)-ROW(INDEX(HIDDEN!$B$1:$B$96,1,1))+1),M$2)),'1)qPCR'!$A$2:$A$97,0)),"")</f>
        <v/>
      </c>
      <c r="N94" s="32" t="str">
        <f t="array" ref="N94">IFERROR(INDEX('1)qPCR'!$E$2:$E$97,MATCH(INDEX(HIDDEN!$C$1:$C$96,SMALL(IF(HIDDEN!$B$1:$B$96=$A94&amp;";"&amp;N$1,ROW(HIDDEN!$B$1:$B$96)-ROW(INDEX(HIDDEN!$B$1:$B$96,1,1))+1),N$2)),'1)qPCR'!$A$2:$A$97,0)),"")</f>
        <v/>
      </c>
      <c r="O94" s="32" t="str">
        <f t="array" ref="O94">IFERROR(INDEX('1)qPCR'!$E$2:$E$97,MATCH(INDEX(HIDDEN!$C$1:$C$96,SMALL(IF(HIDDEN!$B$1:$B$96=$A94&amp;";"&amp;O$1,ROW(HIDDEN!$B$1:$B$96)-ROW(INDEX(HIDDEN!$B$1:$B$96,1,1))+1),O$2)),'1)qPCR'!$A$2:$A$97,0)),"")</f>
        <v/>
      </c>
      <c r="P94" s="7" t="str">
        <f t="shared" si="61"/>
        <v/>
      </c>
      <c r="Q94" s="18" t="str">
        <f t="shared" si="56"/>
        <v/>
      </c>
      <c r="R94" s="7" t="str">
        <f t="shared" si="62"/>
        <v/>
      </c>
      <c r="S94" s="18" t="str">
        <f t="shared" si="57"/>
        <v/>
      </c>
      <c r="T94" s="10" t="str">
        <f t="shared" si="58"/>
        <v/>
      </c>
      <c r="U94" s="10" t="str">
        <f t="shared" si="63"/>
        <v/>
      </c>
      <c r="V94" s="17" t="str">
        <f t="shared" si="64"/>
        <v/>
      </c>
      <c r="W94" s="17" t="str">
        <f t="shared" si="79"/>
        <v/>
      </c>
      <c r="X94" s="17" t="str">
        <f t="shared" si="49"/>
        <v/>
      </c>
      <c r="Y94" s="17" t="str">
        <f t="shared" si="50"/>
        <v/>
      </c>
      <c r="Z94" s="17" t="str">
        <f t="shared" si="65"/>
        <v/>
      </c>
      <c r="AA94" s="17" t="str">
        <f t="shared" si="66"/>
        <v/>
      </c>
      <c r="AB94" s="17" t="str">
        <f t="shared" si="51"/>
        <v/>
      </c>
      <c r="AC94" s="17" t="str">
        <f t="shared" si="52"/>
        <v/>
      </c>
      <c r="AD94" s="17" t="str">
        <f t="shared" si="67"/>
        <v/>
      </c>
      <c r="AE94" s="17" t="str">
        <f t="shared" si="68"/>
        <v/>
      </c>
      <c r="AF94" s="17" t="str">
        <f t="shared" si="69"/>
        <v/>
      </c>
      <c r="AG94" s="17">
        <f t="shared" si="70"/>
        <v>0</v>
      </c>
      <c r="AH94" s="17">
        <f t="shared" si="71"/>
        <v>0</v>
      </c>
      <c r="AI94" s="17">
        <f t="shared" si="72"/>
        <v>0</v>
      </c>
      <c r="AJ94" s="17" t="str">
        <f>IF(AP94="","",IF(AP94&lt;=RANGES!$A$8,1,IF(AP94&lt;=RANGES!$A$9,2,IF(AP94&lt;=RANGES!$A$10,3,IF(AP94&lt;=RANGES!$A$11,4,IF(AP94&lt;=RANGES!$A$12,5,IF(AP94&lt;=RANGES!$A$13,6,IF(AP94&lt;=RANGES!$A$14,7,8))))))))</f>
        <v/>
      </c>
      <c r="AK94" s="17" t="str">
        <f ca="1">IFERROR(INDEX(RANGES!$C$7:$H$7,1,IF(AO94&lt;=INDIRECT("RANGES!C"&amp;7+AJ94),1,IF(AO94&lt;=INDIRECT("RANGES!D"&amp;7+AJ94),2,IF(AO94&lt;=INDIRECT("RANGES!E"&amp;7+AJ94),3,IF(AO94&lt;=INDIRECT("RANGES!F"&amp;7+AJ94),4,IF(AO94&lt;=INDIRECT("RANGES!G"&amp;7+AJ94),5,6)))))),"")</f>
        <v/>
      </c>
      <c r="AL94" s="17">
        <f t="shared" si="73"/>
        <v>0</v>
      </c>
      <c r="AM94" s="17" t="str">
        <f t="shared" si="74"/>
        <v/>
      </c>
      <c r="AN94" s="17" t="str">
        <f t="shared" si="80"/>
        <v/>
      </c>
      <c r="AO94" s="17" t="str">
        <f t="shared" si="81"/>
        <v/>
      </c>
      <c r="AP94" s="17" t="str">
        <f t="shared" si="75"/>
        <v/>
      </c>
      <c r="AQ94" s="17" t="str">
        <f t="shared" si="82"/>
        <v/>
      </c>
      <c r="AR94" s="17" t="str">
        <f t="shared" si="83"/>
        <v/>
      </c>
      <c r="AS94" s="17" t="str">
        <f t="shared" si="84"/>
        <v/>
      </c>
      <c r="AT94" s="7" t="str">
        <f t="shared" si="76"/>
        <v/>
      </c>
      <c r="AU94" s="10" t="str">
        <f t="shared" si="85"/>
        <v/>
      </c>
      <c r="AV94" s="7" t="str">
        <f t="shared" si="77"/>
        <v/>
      </c>
      <c r="AW94" s="21" t="str">
        <f t="shared" si="86"/>
        <v/>
      </c>
      <c r="AX94" s="21" t="str">
        <f t="shared" si="78"/>
        <v/>
      </c>
      <c r="AY94" s="7" t="str">
        <f t="shared" si="87"/>
        <v/>
      </c>
      <c r="AZ94" s="7" t="str">
        <f t="shared" si="88"/>
        <v/>
      </c>
    </row>
    <row r="95" spans="1:52" ht="13.2">
      <c r="A95" s="7" t="str">
        <f>HIDDEN!H94</f>
        <v/>
      </c>
      <c r="B95" s="7" t="str">
        <f>IFERROR(MATCH(A95,'3)PACIENTES'!$A$2:$A$97,0),"")</f>
        <v/>
      </c>
      <c r="C95" s="24" t="str">
        <f>IFERROR(INDEX('3)PACIENTES'!D$2:D$97,SAMPLES!$B95),"")</f>
        <v/>
      </c>
      <c r="D95" s="24" t="str">
        <f>IFERROR(INDEX('3)PACIENTES'!B$2:B$97,SAMPLES!$B95),"")</f>
        <v/>
      </c>
      <c r="E95" s="24" t="str">
        <f>IFERROR(INDEX('3)PACIENTES'!$C$2:$C187,SAMPLES!$B95),"")</f>
        <v/>
      </c>
      <c r="F95" s="22">
        <f>'3)PACIENTES'!$F$2</f>
        <v>44039</v>
      </c>
      <c r="G95" s="13" t="str">
        <f>IFERROR(INDEX('3)PACIENTES'!E$2:E$97,SAMPLES!$B95),"")</f>
        <v/>
      </c>
      <c r="H95" s="17" t="str">
        <f t="shared" si="59"/>
        <v/>
      </c>
      <c r="I95" s="17" t="str">
        <f t="shared" si="60"/>
        <v/>
      </c>
      <c r="J95" s="32" t="str">
        <f t="array" ref="J95">IFERROR(INDEX('1)qPCR'!$E$2:$E$97,MATCH(INDEX(HIDDEN!$C$1:$C$96,SMALL(IF(HIDDEN!$B$1:$B$96=$A95&amp;";"&amp;J$1,ROW(HIDDEN!$B$1:$B$96)-ROW(INDEX(HIDDEN!$B$1:$B$96,1,1))+1),J$2)),'1)qPCR'!$A$2:$A$97,0)),"")</f>
        <v/>
      </c>
      <c r="K95" s="32" t="str">
        <f t="array" ref="K95">IFERROR(INDEX('1)qPCR'!$E$2:$E$97,MATCH(INDEX(HIDDEN!$C$1:$C$96,SMALL(IF(HIDDEN!$B$1:$B$96=$A95&amp;";"&amp;K$1,ROW(HIDDEN!$B$1:$B$96)-ROW(INDEX(HIDDEN!$B$1:$B$96,1,1))+1),K$2)),'1)qPCR'!$A$2:$A$97,0)),"")</f>
        <v/>
      </c>
      <c r="L95" s="32" t="str">
        <f t="array" ref="L95">IFERROR(INDEX('1)qPCR'!$E$2:$E$97,MATCH(INDEX(HIDDEN!$C$1:$C$96,SMALL(IF(HIDDEN!$B$1:$B$96=$A95&amp;";"&amp;L$1,ROW(HIDDEN!$B$1:$B$96)-ROW(INDEX(HIDDEN!$B$1:$B$96,1,1))+1),L$2)),'1)qPCR'!$A$2:$A$97,0)),"")</f>
        <v/>
      </c>
      <c r="M95" s="32" t="str">
        <f t="array" ref="M95">IFERROR(INDEX('1)qPCR'!$E$2:$E$97,MATCH(INDEX(HIDDEN!$C$1:$C$96,SMALL(IF(HIDDEN!$B$1:$B$96=$A95&amp;";"&amp;M$1,ROW(HIDDEN!$B$1:$B$96)-ROW(INDEX(HIDDEN!$B$1:$B$96,1,1))+1),M$2)),'1)qPCR'!$A$2:$A$97,0)),"")</f>
        <v/>
      </c>
      <c r="N95" s="32" t="str">
        <f t="array" ref="N95">IFERROR(INDEX('1)qPCR'!$E$2:$E$97,MATCH(INDEX(HIDDEN!$C$1:$C$96,SMALL(IF(HIDDEN!$B$1:$B$96=$A95&amp;";"&amp;N$1,ROW(HIDDEN!$B$1:$B$96)-ROW(INDEX(HIDDEN!$B$1:$B$96,1,1))+1),N$2)),'1)qPCR'!$A$2:$A$97,0)),"")</f>
        <v/>
      </c>
      <c r="O95" s="32" t="str">
        <f t="array" ref="O95">IFERROR(INDEX('1)qPCR'!$E$2:$E$97,MATCH(INDEX(HIDDEN!$C$1:$C$96,SMALL(IF(HIDDEN!$B$1:$B$96=$A95&amp;";"&amp;O$1,ROW(HIDDEN!$B$1:$B$96)-ROW(INDEX(HIDDEN!$B$1:$B$96,1,1))+1),O$2)),'1)qPCR'!$A$2:$A$97,0)),"")</f>
        <v/>
      </c>
      <c r="P95" s="7" t="str">
        <f t="shared" si="61"/>
        <v/>
      </c>
      <c r="Q95" s="18" t="str">
        <f t="shared" si="56"/>
        <v/>
      </c>
      <c r="R95" s="7" t="str">
        <f t="shared" si="62"/>
        <v/>
      </c>
      <c r="S95" s="18" t="str">
        <f t="shared" si="57"/>
        <v/>
      </c>
      <c r="T95" s="10" t="str">
        <f t="shared" si="58"/>
        <v/>
      </c>
      <c r="U95" s="10" t="str">
        <f t="shared" si="63"/>
        <v/>
      </c>
      <c r="V95" s="17" t="str">
        <f t="shared" si="64"/>
        <v/>
      </c>
      <c r="W95" s="17" t="str">
        <f t="shared" si="79"/>
        <v/>
      </c>
      <c r="X95" s="17" t="str">
        <f t="shared" si="49"/>
        <v/>
      </c>
      <c r="Y95" s="17" t="str">
        <f t="shared" si="50"/>
        <v/>
      </c>
      <c r="Z95" s="17" t="str">
        <f t="shared" si="65"/>
        <v/>
      </c>
      <c r="AA95" s="17" t="str">
        <f t="shared" si="66"/>
        <v/>
      </c>
      <c r="AB95" s="17" t="str">
        <f t="shared" si="51"/>
        <v/>
      </c>
      <c r="AC95" s="17" t="str">
        <f t="shared" si="52"/>
        <v/>
      </c>
      <c r="AD95" s="17" t="str">
        <f t="shared" si="67"/>
        <v/>
      </c>
      <c r="AE95" s="17" t="str">
        <f t="shared" si="68"/>
        <v/>
      </c>
      <c r="AF95" s="17" t="str">
        <f t="shared" si="69"/>
        <v/>
      </c>
      <c r="AG95" s="17">
        <f t="shared" si="70"/>
        <v>0</v>
      </c>
      <c r="AH95" s="17">
        <f t="shared" si="71"/>
        <v>0</v>
      </c>
      <c r="AI95" s="17">
        <f t="shared" si="72"/>
        <v>0</v>
      </c>
      <c r="AJ95" s="17" t="str">
        <f>IF(AP95="","",IF(AP95&lt;=RANGES!$A$8,1,IF(AP95&lt;=RANGES!$A$9,2,IF(AP95&lt;=RANGES!$A$10,3,IF(AP95&lt;=RANGES!$A$11,4,IF(AP95&lt;=RANGES!$A$12,5,IF(AP95&lt;=RANGES!$A$13,6,IF(AP95&lt;=RANGES!$A$14,7,8))))))))</f>
        <v/>
      </c>
      <c r="AK95" s="17" t="str">
        <f ca="1">IFERROR(INDEX(RANGES!$C$7:$H$7,1,IF(AO95&lt;=INDIRECT("RANGES!C"&amp;7+AJ95),1,IF(AO95&lt;=INDIRECT("RANGES!D"&amp;7+AJ95),2,IF(AO95&lt;=INDIRECT("RANGES!E"&amp;7+AJ95),3,IF(AO95&lt;=INDIRECT("RANGES!F"&amp;7+AJ95),4,IF(AO95&lt;=INDIRECT("RANGES!G"&amp;7+AJ95),5,6)))))),"")</f>
        <v/>
      </c>
      <c r="AL95" s="17">
        <f t="shared" si="73"/>
        <v>0</v>
      </c>
      <c r="AM95" s="17" t="str">
        <f t="shared" si="74"/>
        <v/>
      </c>
      <c r="AN95" s="17" t="str">
        <f t="shared" si="80"/>
        <v/>
      </c>
      <c r="AO95" s="17" t="str">
        <f t="shared" si="81"/>
        <v/>
      </c>
      <c r="AP95" s="17" t="str">
        <f t="shared" si="75"/>
        <v/>
      </c>
      <c r="AQ95" s="17" t="str">
        <f t="shared" si="82"/>
        <v/>
      </c>
      <c r="AR95" s="17" t="str">
        <f t="shared" si="83"/>
        <v/>
      </c>
      <c r="AS95" s="17" t="str">
        <f t="shared" si="84"/>
        <v/>
      </c>
      <c r="AT95" s="7" t="str">
        <f t="shared" si="76"/>
        <v/>
      </c>
      <c r="AU95" s="10" t="str">
        <f t="shared" si="85"/>
        <v/>
      </c>
      <c r="AV95" s="7" t="str">
        <f t="shared" si="77"/>
        <v/>
      </c>
      <c r="AW95" s="21" t="str">
        <f t="shared" si="86"/>
        <v/>
      </c>
      <c r="AX95" s="21" t="str">
        <f t="shared" si="78"/>
        <v/>
      </c>
      <c r="AY95" s="7" t="str">
        <f t="shared" si="87"/>
        <v/>
      </c>
      <c r="AZ95" s="7" t="str">
        <f t="shared" si="88"/>
        <v/>
      </c>
    </row>
    <row r="96" spans="1:52" ht="13.2">
      <c r="A96" s="7" t="str">
        <f>HIDDEN!H95</f>
        <v/>
      </c>
      <c r="B96" s="7" t="str">
        <f>IFERROR(MATCH(A96,'3)PACIENTES'!$A$2:$A$97,0),"")</f>
        <v/>
      </c>
      <c r="C96" s="24" t="str">
        <f>IFERROR(INDEX('3)PACIENTES'!D$2:D$97,SAMPLES!$B96),"")</f>
        <v/>
      </c>
      <c r="D96" s="24" t="str">
        <f>IFERROR(INDEX('3)PACIENTES'!B$2:B$97,SAMPLES!$B96),"")</f>
        <v/>
      </c>
      <c r="E96" s="24" t="str">
        <f>IFERROR(INDEX('3)PACIENTES'!$C$2:$C188,SAMPLES!$B96),"")</f>
        <v/>
      </c>
      <c r="F96" s="22">
        <f>'3)PACIENTES'!$F$2</f>
        <v>44039</v>
      </c>
      <c r="G96" s="13" t="str">
        <f>IFERROR(INDEX('3)PACIENTES'!E$2:E$97,SAMPLES!$B96),"")</f>
        <v/>
      </c>
      <c r="H96" s="17" t="str">
        <f t="shared" si="59"/>
        <v/>
      </c>
      <c r="I96" s="17" t="str">
        <f t="shared" si="60"/>
        <v/>
      </c>
      <c r="J96" s="32" t="str">
        <f t="array" ref="J96">IFERROR(INDEX('1)qPCR'!$E$2:$E$97,MATCH(INDEX(HIDDEN!$C$1:$C$96,SMALL(IF(HIDDEN!$B$1:$B$96=$A96&amp;";"&amp;J$1,ROW(HIDDEN!$B$1:$B$96)-ROW(INDEX(HIDDEN!$B$1:$B$96,1,1))+1),J$2)),'1)qPCR'!$A$2:$A$97,0)),"")</f>
        <v/>
      </c>
      <c r="K96" s="32" t="str">
        <f t="array" ref="K96">IFERROR(INDEX('1)qPCR'!$E$2:$E$97,MATCH(INDEX(HIDDEN!$C$1:$C$96,SMALL(IF(HIDDEN!$B$1:$B$96=$A96&amp;";"&amp;K$1,ROW(HIDDEN!$B$1:$B$96)-ROW(INDEX(HIDDEN!$B$1:$B$96,1,1))+1),K$2)),'1)qPCR'!$A$2:$A$97,0)),"")</f>
        <v/>
      </c>
      <c r="L96" s="32" t="str">
        <f t="array" ref="L96">IFERROR(INDEX('1)qPCR'!$E$2:$E$97,MATCH(INDEX(HIDDEN!$C$1:$C$96,SMALL(IF(HIDDEN!$B$1:$B$96=$A96&amp;";"&amp;L$1,ROW(HIDDEN!$B$1:$B$96)-ROW(INDEX(HIDDEN!$B$1:$B$96,1,1))+1),L$2)),'1)qPCR'!$A$2:$A$97,0)),"")</f>
        <v/>
      </c>
      <c r="M96" s="32" t="str">
        <f t="array" ref="M96">IFERROR(INDEX('1)qPCR'!$E$2:$E$97,MATCH(INDEX(HIDDEN!$C$1:$C$96,SMALL(IF(HIDDEN!$B$1:$B$96=$A96&amp;";"&amp;M$1,ROW(HIDDEN!$B$1:$B$96)-ROW(INDEX(HIDDEN!$B$1:$B$96,1,1))+1),M$2)),'1)qPCR'!$A$2:$A$97,0)),"")</f>
        <v/>
      </c>
      <c r="N96" s="32" t="str">
        <f t="array" ref="N96">IFERROR(INDEX('1)qPCR'!$E$2:$E$97,MATCH(INDEX(HIDDEN!$C$1:$C$96,SMALL(IF(HIDDEN!$B$1:$B$96=$A96&amp;";"&amp;N$1,ROW(HIDDEN!$B$1:$B$96)-ROW(INDEX(HIDDEN!$B$1:$B$96,1,1))+1),N$2)),'1)qPCR'!$A$2:$A$97,0)),"")</f>
        <v/>
      </c>
      <c r="O96" s="32" t="str">
        <f t="array" ref="O96">IFERROR(INDEX('1)qPCR'!$E$2:$E$97,MATCH(INDEX(HIDDEN!$C$1:$C$96,SMALL(IF(HIDDEN!$B$1:$B$96=$A96&amp;";"&amp;O$1,ROW(HIDDEN!$B$1:$B$96)-ROW(INDEX(HIDDEN!$B$1:$B$96,1,1))+1),O$2)),'1)qPCR'!$A$2:$A$97,0)),"")</f>
        <v/>
      </c>
      <c r="P96" s="7" t="str">
        <f t="shared" si="61"/>
        <v/>
      </c>
      <c r="Q96" s="18" t="str">
        <f t="shared" si="56"/>
        <v/>
      </c>
      <c r="R96" s="7" t="str">
        <f t="shared" si="62"/>
        <v/>
      </c>
      <c r="S96" s="18" t="str">
        <f t="shared" si="57"/>
        <v/>
      </c>
      <c r="T96" s="10" t="str">
        <f t="shared" si="58"/>
        <v/>
      </c>
      <c r="U96" s="10" t="str">
        <f t="shared" si="63"/>
        <v/>
      </c>
      <c r="V96" s="17" t="str">
        <f t="shared" si="64"/>
        <v/>
      </c>
      <c r="W96" s="17" t="str">
        <f t="shared" si="79"/>
        <v/>
      </c>
      <c r="X96" s="17" t="str">
        <f t="shared" si="49"/>
        <v/>
      </c>
      <c r="Y96" s="17" t="str">
        <f t="shared" si="50"/>
        <v/>
      </c>
      <c r="Z96" s="17" t="str">
        <f t="shared" si="65"/>
        <v/>
      </c>
      <c r="AA96" s="17" t="str">
        <f t="shared" si="66"/>
        <v/>
      </c>
      <c r="AB96" s="17" t="str">
        <f t="shared" si="51"/>
        <v/>
      </c>
      <c r="AC96" s="17" t="str">
        <f t="shared" si="52"/>
        <v/>
      </c>
      <c r="AD96" s="17" t="str">
        <f t="shared" si="67"/>
        <v/>
      </c>
      <c r="AE96" s="17" t="str">
        <f t="shared" si="68"/>
        <v/>
      </c>
      <c r="AF96" s="17" t="str">
        <f t="shared" si="69"/>
        <v/>
      </c>
      <c r="AG96" s="17">
        <f t="shared" si="70"/>
        <v>0</v>
      </c>
      <c r="AH96" s="17">
        <f t="shared" si="71"/>
        <v>0</v>
      </c>
      <c r="AI96" s="17">
        <f t="shared" si="72"/>
        <v>0</v>
      </c>
      <c r="AJ96" s="17" t="str">
        <f>IF(AP96="","",IF(AP96&lt;=RANGES!$A$8,1,IF(AP96&lt;=RANGES!$A$9,2,IF(AP96&lt;=RANGES!$A$10,3,IF(AP96&lt;=RANGES!$A$11,4,IF(AP96&lt;=RANGES!$A$12,5,IF(AP96&lt;=RANGES!$A$13,6,IF(AP96&lt;=RANGES!$A$14,7,8))))))))</f>
        <v/>
      </c>
      <c r="AK96" s="17" t="str">
        <f ca="1">IFERROR(INDEX(RANGES!$C$7:$H$7,1,IF(AO96&lt;=INDIRECT("RANGES!C"&amp;7+AJ96),1,IF(AO96&lt;=INDIRECT("RANGES!D"&amp;7+AJ96),2,IF(AO96&lt;=INDIRECT("RANGES!E"&amp;7+AJ96),3,IF(AO96&lt;=INDIRECT("RANGES!F"&amp;7+AJ96),4,IF(AO96&lt;=INDIRECT("RANGES!G"&amp;7+AJ96),5,6)))))),"")</f>
        <v/>
      </c>
      <c r="AL96" s="17">
        <f t="shared" si="73"/>
        <v>0</v>
      </c>
      <c r="AM96" s="17" t="str">
        <f t="shared" si="74"/>
        <v/>
      </c>
      <c r="AN96" s="17" t="str">
        <f t="shared" si="80"/>
        <v/>
      </c>
      <c r="AO96" s="17" t="str">
        <f t="shared" si="81"/>
        <v/>
      </c>
      <c r="AP96" s="17" t="str">
        <f t="shared" si="75"/>
        <v/>
      </c>
      <c r="AQ96" s="17" t="str">
        <f t="shared" si="82"/>
        <v/>
      </c>
      <c r="AR96" s="17" t="str">
        <f t="shared" si="83"/>
        <v/>
      </c>
      <c r="AS96" s="17" t="str">
        <f t="shared" si="84"/>
        <v/>
      </c>
      <c r="AT96" s="7" t="str">
        <f t="shared" si="76"/>
        <v/>
      </c>
      <c r="AU96" s="10" t="str">
        <f t="shared" si="85"/>
        <v/>
      </c>
      <c r="AV96" s="7" t="str">
        <f t="shared" si="77"/>
        <v/>
      </c>
      <c r="AW96" s="21" t="str">
        <f t="shared" si="86"/>
        <v/>
      </c>
      <c r="AX96" s="21" t="str">
        <f t="shared" si="78"/>
        <v/>
      </c>
      <c r="AY96" s="7" t="str">
        <f t="shared" si="87"/>
        <v/>
      </c>
      <c r="AZ96" s="7" t="str">
        <f t="shared" si="88"/>
        <v/>
      </c>
    </row>
    <row r="97" spans="1:52" ht="13.2">
      <c r="A97" s="7" t="str">
        <f>HIDDEN!H96</f>
        <v/>
      </c>
      <c r="B97" s="7" t="str">
        <f>IFERROR(MATCH(A97,'3)PACIENTES'!$A$2:$A$97,0),"")</f>
        <v/>
      </c>
      <c r="C97" s="24" t="str">
        <f>IFERROR(INDEX('3)PACIENTES'!D$2:D$97,SAMPLES!$B97),"")</f>
        <v/>
      </c>
      <c r="D97" s="24" t="str">
        <f>IFERROR(INDEX('3)PACIENTES'!B$2:B$97,SAMPLES!$B97),"")</f>
        <v/>
      </c>
      <c r="E97" s="24" t="str">
        <f>IFERROR(INDEX('3)PACIENTES'!$C$2:$C189,SAMPLES!$B97),"")</f>
        <v/>
      </c>
      <c r="F97" s="22">
        <f>'3)PACIENTES'!$F$2</f>
        <v>44039</v>
      </c>
      <c r="G97" s="13" t="str">
        <f>IFERROR(INDEX('3)PACIENTES'!E$2:E$97,SAMPLES!$B97),"")</f>
        <v/>
      </c>
      <c r="H97" s="17" t="str">
        <f t="shared" si="59"/>
        <v/>
      </c>
      <c r="I97" s="17" t="str">
        <f t="shared" si="60"/>
        <v/>
      </c>
      <c r="J97" s="32" t="str">
        <f t="array" ref="J97">IFERROR(INDEX('1)qPCR'!$E$2:$E$97,MATCH(INDEX(HIDDEN!$C$1:$C$96,SMALL(IF(HIDDEN!$B$1:$B$96=$A97&amp;";"&amp;J$1,ROW(HIDDEN!$B$1:$B$96)-ROW(INDEX(HIDDEN!$B$1:$B$96,1,1))+1),J$2)),'1)qPCR'!$A$2:$A$97,0)),"")</f>
        <v/>
      </c>
      <c r="K97" s="32" t="str">
        <f t="array" ref="K97">IFERROR(INDEX('1)qPCR'!$E$2:$E$97,MATCH(INDEX(HIDDEN!$C$1:$C$96,SMALL(IF(HIDDEN!$B$1:$B$96=$A97&amp;";"&amp;K$1,ROW(HIDDEN!$B$1:$B$96)-ROW(INDEX(HIDDEN!$B$1:$B$96,1,1))+1),K$2)),'1)qPCR'!$A$2:$A$97,0)),"")</f>
        <v/>
      </c>
      <c r="L97" s="32" t="str">
        <f t="array" ref="L97">IFERROR(INDEX('1)qPCR'!$E$2:$E$97,MATCH(INDEX(HIDDEN!$C$1:$C$96,SMALL(IF(HIDDEN!$B$1:$B$96=$A97&amp;";"&amp;L$1,ROW(HIDDEN!$B$1:$B$96)-ROW(INDEX(HIDDEN!$B$1:$B$96,1,1))+1),L$2)),'1)qPCR'!$A$2:$A$97,0)),"")</f>
        <v/>
      </c>
      <c r="M97" s="32" t="str">
        <f t="array" ref="M97">IFERROR(INDEX('1)qPCR'!$E$2:$E$97,MATCH(INDEX(HIDDEN!$C$1:$C$96,SMALL(IF(HIDDEN!$B$1:$B$96=$A97&amp;";"&amp;M$1,ROW(HIDDEN!$B$1:$B$96)-ROW(INDEX(HIDDEN!$B$1:$B$96,1,1))+1),M$2)),'1)qPCR'!$A$2:$A$97,0)),"")</f>
        <v/>
      </c>
      <c r="N97" s="32" t="str">
        <f t="array" ref="N97">IFERROR(INDEX('1)qPCR'!$E$2:$E$97,MATCH(INDEX(HIDDEN!$C$1:$C$96,SMALL(IF(HIDDEN!$B$1:$B$96=$A97&amp;";"&amp;N$1,ROW(HIDDEN!$B$1:$B$96)-ROW(INDEX(HIDDEN!$B$1:$B$96,1,1))+1),N$2)),'1)qPCR'!$A$2:$A$97,0)),"")</f>
        <v/>
      </c>
      <c r="O97" s="32" t="str">
        <f t="array" ref="O97">IFERROR(INDEX('1)qPCR'!$E$2:$E$97,MATCH(INDEX(HIDDEN!$C$1:$C$96,SMALL(IF(HIDDEN!$B$1:$B$96=$A97&amp;";"&amp;O$1,ROW(HIDDEN!$B$1:$B$96)-ROW(INDEX(HIDDEN!$B$1:$B$96,1,1))+1),O$2)),'1)qPCR'!$A$2:$A$97,0)),"")</f>
        <v/>
      </c>
      <c r="P97" s="7" t="str">
        <f t="shared" si="61"/>
        <v/>
      </c>
      <c r="Q97" s="18" t="str">
        <f t="shared" si="56"/>
        <v/>
      </c>
      <c r="R97" s="7" t="str">
        <f t="shared" si="62"/>
        <v/>
      </c>
      <c r="S97" s="18" t="str">
        <f t="shared" si="57"/>
        <v/>
      </c>
      <c r="T97" s="10" t="str">
        <f t="shared" si="58"/>
        <v/>
      </c>
      <c r="U97" s="10" t="str">
        <f t="shared" si="63"/>
        <v/>
      </c>
      <c r="V97" s="17" t="str">
        <f t="shared" si="64"/>
        <v/>
      </c>
      <c r="W97" s="17" t="str">
        <f t="shared" si="79"/>
        <v/>
      </c>
      <c r="X97" s="17" t="str">
        <f t="shared" si="49"/>
        <v/>
      </c>
      <c r="Y97" s="17" t="str">
        <f t="shared" si="50"/>
        <v/>
      </c>
      <c r="Z97" s="17" t="str">
        <f t="shared" si="65"/>
        <v/>
      </c>
      <c r="AA97" s="17" t="str">
        <f t="shared" si="66"/>
        <v/>
      </c>
      <c r="AB97" s="17" t="str">
        <f t="shared" si="51"/>
        <v/>
      </c>
      <c r="AC97" s="17" t="str">
        <f t="shared" si="52"/>
        <v/>
      </c>
      <c r="AD97" s="17" t="str">
        <f t="shared" si="67"/>
        <v/>
      </c>
      <c r="AE97" s="17" t="str">
        <f t="shared" si="68"/>
        <v/>
      </c>
      <c r="AF97" s="17" t="str">
        <f t="shared" si="69"/>
        <v/>
      </c>
      <c r="AG97" s="17">
        <f t="shared" si="70"/>
        <v>0</v>
      </c>
      <c r="AH97" s="17">
        <f t="shared" si="71"/>
        <v>0</v>
      </c>
      <c r="AI97" s="17">
        <f t="shared" si="72"/>
        <v>0</v>
      </c>
      <c r="AJ97" s="17" t="str">
        <f>IF(AP97="","",IF(AP97&lt;=RANGES!$A$8,1,IF(AP97&lt;=RANGES!$A$9,2,IF(AP97&lt;=RANGES!$A$10,3,IF(AP97&lt;=RANGES!$A$11,4,IF(AP97&lt;=RANGES!$A$12,5,IF(AP97&lt;=RANGES!$A$13,6,IF(AP97&lt;=RANGES!$A$14,7,8))))))))</f>
        <v/>
      </c>
      <c r="AK97" s="17" t="str">
        <f ca="1">IFERROR(INDEX(RANGES!$C$7:$H$7,1,IF(AO97&lt;=INDIRECT("RANGES!C"&amp;7+AJ97),1,IF(AO97&lt;=INDIRECT("RANGES!D"&amp;7+AJ97),2,IF(AO97&lt;=INDIRECT("RANGES!E"&amp;7+AJ97),3,IF(AO97&lt;=INDIRECT("RANGES!F"&amp;7+AJ97),4,IF(AO97&lt;=INDIRECT("RANGES!G"&amp;7+AJ97),5,6)))))),"")</f>
        <v/>
      </c>
      <c r="AL97" s="17">
        <f t="shared" si="73"/>
        <v>0</v>
      </c>
      <c r="AM97" s="17" t="str">
        <f t="shared" si="74"/>
        <v/>
      </c>
      <c r="AN97" s="17" t="str">
        <f t="shared" si="80"/>
        <v/>
      </c>
      <c r="AO97" s="17" t="str">
        <f t="shared" si="81"/>
        <v/>
      </c>
      <c r="AP97" s="17" t="str">
        <f t="shared" si="75"/>
        <v/>
      </c>
      <c r="AQ97" s="17" t="str">
        <f t="shared" si="82"/>
        <v/>
      </c>
      <c r="AR97" s="17" t="str">
        <f t="shared" si="83"/>
        <v/>
      </c>
      <c r="AS97" s="17" t="str">
        <f t="shared" si="84"/>
        <v/>
      </c>
      <c r="AT97" s="7" t="str">
        <f t="shared" si="76"/>
        <v/>
      </c>
      <c r="AU97" s="10" t="str">
        <f t="shared" si="85"/>
        <v/>
      </c>
      <c r="AV97" s="7" t="str">
        <f t="shared" si="77"/>
        <v/>
      </c>
      <c r="AW97" s="21" t="str">
        <f t="shared" si="86"/>
        <v/>
      </c>
      <c r="AX97" s="21" t="str">
        <f t="shared" si="78"/>
        <v/>
      </c>
      <c r="AY97" s="7" t="str">
        <f t="shared" si="87"/>
        <v/>
      </c>
      <c r="AZ97" s="7" t="str">
        <f t="shared" si="88"/>
        <v/>
      </c>
    </row>
    <row r="98" spans="1:52" ht="13.2">
      <c r="A98" s="7">
        <f>HIDDEN!H97</f>
        <v>0</v>
      </c>
      <c r="B98" s="7" t="str">
        <f>IFERROR(MATCH(A98,'3)PACIENTES'!$A$2:$A$97,0),"")</f>
        <v/>
      </c>
      <c r="C98" s="24" t="str">
        <f>IFERROR(INDEX('3)PACIENTES'!D$2:D$97,SAMPLES!$B98),"")</f>
        <v/>
      </c>
      <c r="D98" s="24" t="str">
        <f>IFERROR(INDEX('3)PACIENTES'!B$2:B$97,SAMPLES!$B98),"")</f>
        <v/>
      </c>
      <c r="E98" s="24" t="str">
        <f>IFERROR(INDEX('3)PACIENTES'!$C$2:$C190,SAMPLES!$B98),"")</f>
        <v/>
      </c>
      <c r="F98" s="22">
        <f>'3)PACIENTES'!$F$2</f>
        <v>44039</v>
      </c>
      <c r="G98" s="13" t="str">
        <f>IFERROR(INDEX('3)PACIENTES'!E$2:E$97,SAMPLES!$B98),"")</f>
        <v/>
      </c>
      <c r="H98" s="17" t="str">
        <f t="shared" si="59"/>
        <v/>
      </c>
      <c r="I98" s="17" t="str">
        <f t="shared" si="60"/>
        <v/>
      </c>
      <c r="J98" s="32" t="str">
        <f t="array" ref="J98">IFERROR(INDEX('1)qPCR'!$E$2:$E$97,MATCH(INDEX(HIDDEN!$C$1:$C$96,SMALL(IF(HIDDEN!$B$1:$B$96=$A98&amp;";"&amp;J$1,ROW(HIDDEN!$B$1:$B$96)-ROW(INDEX(HIDDEN!$B$1:$B$96,1,1))+1),J$2)),'1)qPCR'!$A$2:$A$97,0)),"")</f>
        <v/>
      </c>
      <c r="K98" s="32" t="str">
        <f t="array" ref="K98">IFERROR(INDEX('1)qPCR'!$E$2:$E$97,MATCH(INDEX(HIDDEN!$C$1:$C$96,SMALL(IF(HIDDEN!$B$1:$B$96=$A98&amp;";"&amp;K$1,ROW(HIDDEN!$B$1:$B$96)-ROW(INDEX(HIDDEN!$B$1:$B$96,1,1))+1),K$2)),'1)qPCR'!$A$2:$A$97,0)),"")</f>
        <v/>
      </c>
      <c r="L98" s="32" t="str">
        <f t="array" ref="L98">IFERROR(INDEX('1)qPCR'!$E$2:$E$97,MATCH(INDEX(HIDDEN!$C$1:$C$96,SMALL(IF(HIDDEN!$B$1:$B$96=$A98&amp;";"&amp;L$1,ROW(HIDDEN!$B$1:$B$96)-ROW(INDEX(HIDDEN!$B$1:$B$96,1,1))+1),L$2)),'1)qPCR'!$A$2:$A$97,0)),"")</f>
        <v/>
      </c>
      <c r="M98" s="32" t="str">
        <f t="array" ref="M98">IFERROR(INDEX('1)qPCR'!$E$2:$E$97,MATCH(INDEX(HIDDEN!$C$1:$C$96,SMALL(IF(HIDDEN!$B$1:$B$96=$A98&amp;";"&amp;M$1,ROW(HIDDEN!$B$1:$B$96)-ROW(INDEX(HIDDEN!$B$1:$B$96,1,1))+1),M$2)),'1)qPCR'!$A$2:$A$97,0)),"")</f>
        <v/>
      </c>
      <c r="N98" s="32" t="str">
        <f t="array" ref="N98">IFERROR(INDEX('1)qPCR'!$E$2:$E$97,MATCH(INDEX(HIDDEN!$C$1:$C$96,SMALL(IF(HIDDEN!$B$1:$B$96=$A98&amp;";"&amp;N$1,ROW(HIDDEN!$B$1:$B$96)-ROW(INDEX(HIDDEN!$B$1:$B$96,1,1))+1),N$2)),'1)qPCR'!$A$2:$A$97,0)),"")</f>
        <v/>
      </c>
      <c r="O98" s="32" t="str">
        <f t="array" ref="O98">IFERROR(INDEX('1)qPCR'!$E$2:$E$97,MATCH(INDEX(HIDDEN!$C$1:$C$96,SMALL(IF(HIDDEN!$B$1:$B$96=$A98&amp;";"&amp;O$1,ROW(HIDDEN!$B$1:$B$96)-ROW(INDEX(HIDDEN!$B$1:$B$96,1,1))+1),O$2)),'1)qPCR'!$A$2:$A$97,0)),"")</f>
        <v/>
      </c>
      <c r="P98" s="7" t="str">
        <f t="shared" si="61"/>
        <v/>
      </c>
      <c r="Q98" s="18" t="str">
        <f t="shared" si="56"/>
        <v/>
      </c>
      <c r="R98" s="7" t="str">
        <f t="shared" si="62"/>
        <v/>
      </c>
      <c r="S98" s="18" t="str">
        <f t="shared" si="57"/>
        <v/>
      </c>
      <c r="T98" s="10" t="str">
        <f>IFERROR(H98-$H$3,"")</f>
        <v/>
      </c>
      <c r="U98" s="10" t="str">
        <f t="shared" si="63"/>
        <v/>
      </c>
      <c r="V98" s="17" t="str">
        <f t="shared" si="64"/>
        <v/>
      </c>
      <c r="W98" s="17" t="str">
        <f t="shared" si="79"/>
        <v/>
      </c>
      <c r="X98" s="17" t="str">
        <f t="shared" si="49"/>
        <v/>
      </c>
      <c r="Y98" s="17" t="str">
        <f t="shared" si="50"/>
        <v/>
      </c>
      <c r="Z98" s="17" t="str">
        <f t="shared" si="65"/>
        <v/>
      </c>
      <c r="AA98" s="17" t="str">
        <f t="shared" si="66"/>
        <v/>
      </c>
      <c r="AB98" s="17" t="str">
        <f t="shared" si="51"/>
        <v/>
      </c>
      <c r="AC98" s="17" t="str">
        <f t="shared" si="52"/>
        <v/>
      </c>
      <c r="AD98" s="17" t="str">
        <f t="shared" si="67"/>
        <v/>
      </c>
      <c r="AE98" s="17" t="str">
        <f t="shared" si="68"/>
        <v/>
      </c>
      <c r="AF98" s="17" t="str">
        <f t="shared" si="69"/>
        <v/>
      </c>
      <c r="AG98" s="17">
        <f t="shared" si="70"/>
        <v>0</v>
      </c>
      <c r="AH98" s="17">
        <f t="shared" si="71"/>
        <v>0</v>
      </c>
      <c r="AI98" s="17">
        <f t="shared" si="72"/>
        <v>0</v>
      </c>
      <c r="AJ98" s="17" t="str">
        <f>IF(AP98="","",IF(AP98&lt;=RANGES!$A$8,1,IF(AP98&lt;=RANGES!$A$9,2,IF(AP98&lt;=RANGES!$A$10,3,IF(AP98&lt;=RANGES!$A$11,4,IF(AP98&lt;=RANGES!$A$12,5,IF(AP98&lt;=RANGES!$A$13,6,IF(AP98&lt;=RANGES!$A$14,7,8))))))))</f>
        <v/>
      </c>
      <c r="AK98" s="17" t="str">
        <f ca="1">IFERROR(INDEX(RANGES!$C$7:$H$7,1,IF(AO98&lt;=INDIRECT("RANGES!C"&amp;7+AJ98),1,IF(AO98&lt;=INDIRECT("RANGES!D"&amp;7+AJ98),2,IF(AO98&lt;=INDIRECT("RANGES!E"&amp;7+AJ98),3,IF(AO98&lt;=INDIRECT("RANGES!F"&amp;7+AJ98),4,IF(AO98&lt;=INDIRECT("RANGES!G"&amp;7+AJ98),5,6)))))),"")</f>
        <v/>
      </c>
      <c r="AL98" s="17">
        <f t="shared" si="73"/>
        <v>0</v>
      </c>
      <c r="AM98" s="17" t="str">
        <f t="shared" si="74"/>
        <v/>
      </c>
      <c r="AN98" s="17" t="str">
        <f t="shared" si="80"/>
        <v/>
      </c>
      <c r="AO98" s="17" t="str">
        <f t="shared" si="81"/>
        <v/>
      </c>
      <c r="AP98" s="17" t="str">
        <f t="shared" si="75"/>
        <v/>
      </c>
      <c r="AQ98" s="17" t="str">
        <f t="shared" si="82"/>
        <v/>
      </c>
      <c r="AR98" s="17" t="str">
        <f t="shared" si="83"/>
        <v/>
      </c>
      <c r="AS98" s="17" t="str">
        <f t="shared" si="84"/>
        <v/>
      </c>
      <c r="AT98" s="7" t="str">
        <f t="shared" si="76"/>
        <v/>
      </c>
      <c r="AU98" s="10" t="str">
        <f t="shared" si="85"/>
        <v/>
      </c>
      <c r="AV98" s="7" t="str">
        <f t="shared" si="77"/>
        <v/>
      </c>
      <c r="AW98" s="21" t="str">
        <f t="shared" si="86"/>
        <v/>
      </c>
      <c r="AX98" s="21" t="str">
        <f t="shared" si="78"/>
        <v/>
      </c>
      <c r="AY98" s="7" t="str">
        <f t="shared" si="87"/>
        <v/>
      </c>
      <c r="AZ98" s="7" t="str">
        <f t="shared" si="88"/>
        <v/>
      </c>
    </row>
    <row r="99" spans="1:52" ht="13.2">
      <c r="A99" s="7">
        <f>HIDDEN!H98</f>
        <v>0</v>
      </c>
      <c r="B99" s="7" t="str">
        <f>IFERROR(MATCH(A99,'3)PACIENTES'!$A$2:$A$97,0),"")</f>
        <v/>
      </c>
      <c r="C99" s="24" t="str">
        <f>IFERROR(INDEX('3)PACIENTES'!D$2:D$97,SAMPLES!$B99),"")</f>
        <v/>
      </c>
      <c r="D99" s="24" t="str">
        <f>IFERROR(INDEX('3)PACIENTES'!B$2:B$97,SAMPLES!$B99),"")</f>
        <v/>
      </c>
      <c r="E99" s="24" t="str">
        <f>IFERROR(INDEX('3)PACIENTES'!$C$2:$C191,SAMPLES!$B99),"")</f>
        <v/>
      </c>
      <c r="F99" s="22">
        <f>'3)PACIENTES'!$F$2</f>
        <v>44039</v>
      </c>
      <c r="G99" s="13" t="str">
        <f>IFERROR(INDEX('3)PACIENTES'!E$2:E$97,SAMPLES!$B99),"")</f>
        <v/>
      </c>
      <c r="H99" s="17" t="str">
        <f t="shared" si="59"/>
        <v/>
      </c>
      <c r="I99" s="17" t="str">
        <f t="shared" si="60"/>
        <v/>
      </c>
      <c r="J99" s="32" t="str">
        <f t="array" ref="J99">IFERROR(INDEX('1)qPCR'!$E$2:$E$97,MATCH(INDEX(HIDDEN!$C$1:$C$96,SMALL(IF(HIDDEN!$B$1:$B$96=$A99&amp;";"&amp;J$1,ROW(HIDDEN!$B$1:$B$96)-ROW(INDEX(HIDDEN!$B$1:$B$96,1,1))+1),J$2)),'1)qPCR'!$A$2:$A$97,0)),"")</f>
        <v/>
      </c>
      <c r="K99" s="32" t="str">
        <f t="array" ref="K99">IFERROR(INDEX('1)qPCR'!$E$2:$E$97,MATCH(INDEX(HIDDEN!$C$1:$C$96,SMALL(IF(HIDDEN!$B$1:$B$96=$A99&amp;";"&amp;K$1,ROW(HIDDEN!$B$1:$B$96)-ROW(INDEX(HIDDEN!$B$1:$B$96,1,1))+1),K$2)),'1)qPCR'!$A$2:$A$97,0)),"")</f>
        <v/>
      </c>
      <c r="L99" s="32" t="str">
        <f t="array" ref="L99">IFERROR(INDEX('1)qPCR'!$E$2:$E$97,MATCH(INDEX(HIDDEN!$C$1:$C$96,SMALL(IF(HIDDEN!$B$1:$B$96=$A99&amp;";"&amp;L$1,ROW(HIDDEN!$B$1:$B$96)-ROW(INDEX(HIDDEN!$B$1:$B$96,1,1))+1),L$2)),'1)qPCR'!$A$2:$A$97,0)),"")</f>
        <v/>
      </c>
      <c r="M99" s="32" t="str">
        <f t="array" ref="M99">IFERROR(INDEX('1)qPCR'!$E$2:$E$97,MATCH(INDEX(HIDDEN!$C$1:$C$96,SMALL(IF(HIDDEN!$B$1:$B$96=$A99&amp;";"&amp;M$1,ROW(HIDDEN!$B$1:$B$96)-ROW(INDEX(HIDDEN!$B$1:$B$96,1,1))+1),M$2)),'1)qPCR'!$A$2:$A$97,0)),"")</f>
        <v/>
      </c>
      <c r="N99" s="32" t="str">
        <f t="array" ref="N99">IFERROR(INDEX('1)qPCR'!$E$2:$E$97,MATCH(INDEX(HIDDEN!$C$1:$C$96,SMALL(IF(HIDDEN!$B$1:$B$96=$A99&amp;";"&amp;N$1,ROW(HIDDEN!$B$1:$B$96)-ROW(INDEX(HIDDEN!$B$1:$B$96,1,1))+1),N$2)),'1)qPCR'!$A$2:$A$97,0)),"")</f>
        <v/>
      </c>
      <c r="O99" s="32" t="str">
        <f t="array" ref="O99">IFERROR(INDEX('1)qPCR'!$E$2:$E$97,MATCH(INDEX(HIDDEN!$C$1:$C$96,SMALL(IF(HIDDEN!$B$1:$B$96=$A99&amp;";"&amp;O$1,ROW(HIDDEN!$B$1:$B$96)-ROW(INDEX(HIDDEN!$B$1:$B$96,1,1))+1),O$2)),'1)qPCR'!$A$2:$A$97,0)),"")</f>
        <v/>
      </c>
      <c r="P99" s="7" t="str">
        <f t="shared" si="61"/>
        <v/>
      </c>
      <c r="Q99" s="18" t="str">
        <f t="shared" si="56"/>
        <v/>
      </c>
      <c r="R99" s="7" t="str">
        <f t="shared" si="62"/>
        <v/>
      </c>
      <c r="S99" s="18" t="str">
        <f t="shared" si="57"/>
        <v/>
      </c>
      <c r="T99" s="10" t="str">
        <f t="shared" si="58"/>
        <v/>
      </c>
      <c r="U99" s="10" t="str">
        <f t="shared" si="63"/>
        <v/>
      </c>
      <c r="V99" s="17" t="str">
        <f t="shared" si="64"/>
        <v/>
      </c>
      <c r="W99" s="17" t="str">
        <f t="shared" si="79"/>
        <v/>
      </c>
      <c r="X99" s="17" t="str">
        <f t="shared" si="49"/>
        <v/>
      </c>
      <c r="Y99" s="17" t="str">
        <f t="shared" si="50"/>
        <v/>
      </c>
      <c r="Z99" s="17" t="str">
        <f t="shared" si="65"/>
        <v/>
      </c>
      <c r="AA99" s="17" t="str">
        <f t="shared" si="66"/>
        <v/>
      </c>
      <c r="AB99" s="17" t="str">
        <f t="shared" si="51"/>
        <v/>
      </c>
      <c r="AC99" s="17" t="str">
        <f t="shared" si="52"/>
        <v/>
      </c>
      <c r="AD99" s="17" t="str">
        <f t="shared" si="67"/>
        <v/>
      </c>
      <c r="AE99" s="17" t="str">
        <f t="shared" si="68"/>
        <v/>
      </c>
      <c r="AF99" s="17" t="str">
        <f t="shared" si="69"/>
        <v/>
      </c>
      <c r="AG99" s="17">
        <f t="shared" si="70"/>
        <v>0</v>
      </c>
      <c r="AH99" s="17">
        <f t="shared" si="71"/>
        <v>0</v>
      </c>
      <c r="AI99" s="17">
        <f t="shared" si="72"/>
        <v>0</v>
      </c>
      <c r="AJ99" s="17" t="str">
        <f>IF(AP99="","",IF(AP99&lt;=RANGES!$A$8,1,IF(AP99&lt;=RANGES!$A$9,2,IF(AP99&lt;=RANGES!$A$10,3,IF(AP99&lt;=RANGES!$A$11,4,IF(AP99&lt;=RANGES!$A$12,5,IF(AP99&lt;=RANGES!$A$13,6,IF(AP99&lt;=RANGES!$A$14,7,8))))))))</f>
        <v/>
      </c>
      <c r="AK99" s="17" t="str">
        <f ca="1">IFERROR(INDEX(RANGES!$C$7:$H$7,1,IF(AO99&lt;=INDIRECT("RANGES!C"&amp;7+AJ99),1,IF(AO99&lt;=INDIRECT("RANGES!D"&amp;7+AJ99),2,IF(AO99&lt;=INDIRECT("RANGES!E"&amp;7+AJ99),3,IF(AO99&lt;=INDIRECT("RANGES!F"&amp;7+AJ99),4,IF(AO99&lt;=INDIRECT("RANGES!G"&amp;7+AJ99),5,6)))))),"")</f>
        <v/>
      </c>
      <c r="AL99" s="17">
        <f t="shared" si="73"/>
        <v>0</v>
      </c>
      <c r="AM99" s="17" t="str">
        <f t="shared" si="74"/>
        <v/>
      </c>
      <c r="AN99" s="17" t="str">
        <f t="shared" si="80"/>
        <v/>
      </c>
      <c r="AO99" s="17" t="str">
        <f t="shared" si="81"/>
        <v/>
      </c>
      <c r="AP99" s="17" t="str">
        <f t="shared" si="75"/>
        <v/>
      </c>
      <c r="AQ99" s="17" t="str">
        <f t="shared" si="82"/>
        <v/>
      </c>
      <c r="AR99" s="17" t="str">
        <f t="shared" si="83"/>
        <v/>
      </c>
      <c r="AS99" s="17" t="str">
        <f t="shared" si="84"/>
        <v/>
      </c>
      <c r="AT99" s="7" t="str">
        <f t="shared" si="76"/>
        <v/>
      </c>
      <c r="AU99" s="10" t="str">
        <f t="shared" si="85"/>
        <v/>
      </c>
      <c r="AV99" s="7" t="str">
        <f t="shared" si="77"/>
        <v/>
      </c>
      <c r="AW99" s="21" t="str">
        <f t="shared" si="86"/>
        <v/>
      </c>
      <c r="AX99" s="21" t="str">
        <f t="shared" si="78"/>
        <v/>
      </c>
      <c r="AY99" s="7" t="str">
        <f t="shared" si="87"/>
        <v/>
      </c>
      <c r="AZ99" s="7" t="str">
        <f t="shared" si="88"/>
        <v/>
      </c>
    </row>
    <row r="101" spans="1:52" ht="13.2">
      <c r="A101" s="7" t="s">
        <v>65</v>
      </c>
      <c r="B101" s="7"/>
      <c r="C101" s="7" t="s">
        <v>65</v>
      </c>
      <c r="D101" s="7" t="s">
        <v>65</v>
      </c>
      <c r="E101" s="7" t="s">
        <v>65</v>
      </c>
      <c r="F101" s="7" t="s">
        <v>65</v>
      </c>
      <c r="G101" s="7" t="s">
        <v>65</v>
      </c>
      <c r="H101" s="7" t="s">
        <v>65</v>
      </c>
      <c r="I101" s="7" t="s">
        <v>65</v>
      </c>
      <c r="J101" s="7" t="s">
        <v>65</v>
      </c>
      <c r="K101" s="7" t="s">
        <v>65</v>
      </c>
      <c r="L101" s="7" t="s">
        <v>65</v>
      </c>
      <c r="M101" s="7" t="s">
        <v>65</v>
      </c>
      <c r="N101" s="7" t="s">
        <v>65</v>
      </c>
      <c r="O101" s="7" t="s">
        <v>65</v>
      </c>
      <c r="P101" s="7" t="s">
        <v>65</v>
      </c>
      <c r="Q101" s="7" t="s">
        <v>65</v>
      </c>
      <c r="R101" s="7" t="s">
        <v>65</v>
      </c>
      <c r="S101" s="7" t="s">
        <v>65</v>
      </c>
      <c r="T101" s="7" t="s">
        <v>65</v>
      </c>
      <c r="U101" s="7" t="s">
        <v>65</v>
      </c>
      <c r="V101" s="7" t="s">
        <v>65</v>
      </c>
      <c r="W101" s="7" t="s">
        <v>65</v>
      </c>
      <c r="X101" s="7" t="s">
        <v>65</v>
      </c>
      <c r="Y101" s="7" t="s">
        <v>65</v>
      </c>
      <c r="Z101" s="7" t="s">
        <v>65</v>
      </c>
      <c r="AA101" s="7" t="s">
        <v>65</v>
      </c>
      <c r="AB101" s="7" t="s">
        <v>65</v>
      </c>
      <c r="AC101" s="7" t="s">
        <v>65</v>
      </c>
      <c r="AD101" s="7"/>
      <c r="AE101" s="7"/>
      <c r="AF101" s="7"/>
      <c r="AG101" s="7"/>
      <c r="AH101" s="7"/>
      <c r="AI101" s="7"/>
      <c r="AJ101" s="7"/>
      <c r="AK101" s="7"/>
      <c r="AL101" s="7" t="s">
        <v>65</v>
      </c>
      <c r="AM101" s="7" t="s">
        <v>65</v>
      </c>
      <c r="AN101" s="7"/>
      <c r="AO101" s="7"/>
      <c r="AP101" s="7" t="s">
        <v>65</v>
      </c>
      <c r="AQ101" s="7"/>
      <c r="AR101" s="7"/>
      <c r="AS101" s="7"/>
      <c r="AT101" s="7" t="s">
        <v>65</v>
      </c>
      <c r="AU101" s="7"/>
      <c r="AV101" s="7" t="s">
        <v>65</v>
      </c>
      <c r="AW101" s="7" t="s">
        <v>65</v>
      </c>
      <c r="AX101" s="7" t="s">
        <v>65</v>
      </c>
      <c r="AY101" s="7" t="s">
        <v>65</v>
      </c>
      <c r="AZ101" s="7" t="s">
        <v>65</v>
      </c>
    </row>
    <row r="102" spans="1:52" ht="13.2">
      <c r="A102" s="7"/>
      <c r="B102" s="7"/>
      <c r="G102" s="20"/>
      <c r="H102" s="6"/>
      <c r="I102" s="6"/>
      <c r="Q102" s="18"/>
      <c r="S102" s="18"/>
      <c r="AL102" s="19"/>
      <c r="AW102" s="21"/>
    </row>
    <row r="103" spans="1:52" ht="13.2">
      <c r="A103" s="7"/>
      <c r="B103" s="7"/>
      <c r="G103" s="20"/>
      <c r="H103" s="6"/>
      <c r="I103" s="6"/>
      <c r="Q103" s="18"/>
      <c r="S103" s="18"/>
      <c r="AL103" s="19"/>
      <c r="AW103" s="21"/>
    </row>
    <row r="104" spans="1:52" ht="13.2">
      <c r="A104" s="7"/>
      <c r="B104" s="7"/>
      <c r="G104" s="20"/>
      <c r="H104" s="6"/>
      <c r="I104" s="6"/>
      <c r="Q104" s="18"/>
      <c r="S104" s="18"/>
      <c r="AL104" s="19"/>
      <c r="AW104" s="21"/>
    </row>
    <row r="105" spans="1:52" ht="13.2">
      <c r="A105" s="7"/>
      <c r="B105" s="7"/>
      <c r="G105" s="20"/>
      <c r="H105" s="6"/>
      <c r="I105" s="6"/>
      <c r="Q105" s="18"/>
      <c r="S105" s="18"/>
      <c r="AL105" s="19"/>
      <c r="AW105" s="21"/>
    </row>
    <row r="106" spans="1:52" ht="13.2">
      <c r="A106" s="7"/>
      <c r="B106" s="7"/>
      <c r="G106" s="20"/>
      <c r="H106" s="6"/>
      <c r="I106" s="6"/>
      <c r="Q106" s="18"/>
      <c r="S106" s="18"/>
      <c r="AL106" s="19"/>
      <c r="AW106" s="21"/>
    </row>
    <row r="107" spans="1:52" ht="13.2">
      <c r="A107" s="7"/>
      <c r="B107" s="7"/>
      <c r="G107" s="20"/>
      <c r="H107" s="6"/>
      <c r="I107" s="6"/>
      <c r="Q107" s="18"/>
      <c r="S107" s="18"/>
      <c r="AL107" s="19"/>
      <c r="AW107" s="21"/>
    </row>
    <row r="108" spans="1:52" ht="13.2">
      <c r="A108" s="7"/>
      <c r="B108" s="7"/>
      <c r="G108" s="20"/>
      <c r="H108" s="6"/>
      <c r="I108" s="6"/>
      <c r="Q108" s="18"/>
      <c r="S108" s="18"/>
      <c r="AL108" s="19"/>
      <c r="AW108" s="21"/>
    </row>
    <row r="109" spans="1:52" ht="13.2">
      <c r="A109" s="7"/>
      <c r="B109" s="7"/>
      <c r="G109" s="20"/>
      <c r="H109" s="6"/>
      <c r="I109" s="6"/>
      <c r="Q109" s="18"/>
      <c r="S109" s="18"/>
      <c r="AL109" s="19"/>
      <c r="AW109" s="21"/>
    </row>
    <row r="110" spans="1:52" ht="13.2">
      <c r="A110" s="7"/>
      <c r="B110" s="7"/>
      <c r="G110" s="20"/>
      <c r="H110" s="6"/>
      <c r="I110" s="6"/>
      <c r="Q110" s="18"/>
      <c r="S110" s="18"/>
      <c r="AL110" s="19"/>
      <c r="AW110" s="21"/>
    </row>
    <row r="111" spans="1:52" ht="13.2">
      <c r="A111" s="7"/>
      <c r="B111" s="7"/>
      <c r="G111" s="20"/>
      <c r="H111" s="6"/>
      <c r="I111" s="6"/>
      <c r="Q111" s="18"/>
      <c r="S111" s="18"/>
      <c r="AL111" s="19"/>
      <c r="AW111" s="21"/>
    </row>
    <row r="112" spans="1:52" ht="13.2">
      <c r="A112" s="7"/>
      <c r="B112" s="7"/>
      <c r="G112" s="20"/>
      <c r="H112" s="6"/>
      <c r="I112" s="6"/>
      <c r="Q112" s="18"/>
      <c r="S112" s="18"/>
      <c r="AL112" s="19"/>
      <c r="AW112" s="21"/>
    </row>
    <row r="113" spans="1:49" ht="13.2">
      <c r="A113" s="7"/>
      <c r="B113" s="7"/>
      <c r="G113" s="20"/>
      <c r="H113" s="6"/>
      <c r="I113" s="6"/>
      <c r="Q113" s="18"/>
      <c r="S113" s="18"/>
      <c r="AL113" s="19"/>
      <c r="AW113" s="21"/>
    </row>
    <row r="114" spans="1:49" ht="13.2">
      <c r="A114" s="7"/>
      <c r="B114" s="7"/>
      <c r="G114" s="20"/>
      <c r="H114" s="6"/>
      <c r="I114" s="6"/>
      <c r="Q114" s="18"/>
      <c r="S114" s="18"/>
      <c r="AL114" s="19"/>
      <c r="AW114" s="21"/>
    </row>
    <row r="115" spans="1:49" ht="13.2">
      <c r="A115" s="7"/>
      <c r="B115" s="7"/>
      <c r="G115" s="20"/>
      <c r="H115" s="6"/>
      <c r="I115" s="6"/>
      <c r="Q115" s="18"/>
      <c r="S115" s="18"/>
      <c r="AL115" s="19"/>
      <c r="AW115" s="21"/>
    </row>
    <row r="116" spans="1:49" ht="13.2">
      <c r="A116" s="7"/>
      <c r="B116" s="7"/>
      <c r="G116" s="20"/>
      <c r="H116" s="6"/>
      <c r="I116" s="6"/>
      <c r="Q116" s="18"/>
      <c r="S116" s="18"/>
      <c r="AL116" s="19"/>
      <c r="AW116" s="21"/>
    </row>
    <row r="117" spans="1:49" ht="13.2">
      <c r="A117" s="7"/>
      <c r="B117" s="7"/>
      <c r="G117" s="20"/>
      <c r="H117" s="6"/>
      <c r="I117" s="6"/>
      <c r="Q117" s="18"/>
      <c r="S117" s="18"/>
      <c r="AL117" s="19"/>
      <c r="AW117" s="21"/>
    </row>
    <row r="118" spans="1:49" ht="13.2">
      <c r="A118" s="7"/>
      <c r="B118" s="7"/>
      <c r="G118" s="20"/>
      <c r="H118" s="6"/>
      <c r="I118" s="6"/>
      <c r="Q118" s="18"/>
      <c r="S118" s="18"/>
      <c r="AL118" s="19"/>
      <c r="AW118" s="21"/>
    </row>
    <row r="119" spans="1:49" ht="13.2">
      <c r="A119" s="7"/>
      <c r="B119" s="7"/>
      <c r="G119" s="20"/>
      <c r="H119" s="6"/>
      <c r="I119" s="6"/>
      <c r="Q119" s="18"/>
      <c r="S119" s="18"/>
      <c r="AL119" s="19"/>
      <c r="AW119" s="21"/>
    </row>
    <row r="120" spans="1:49" ht="13.2">
      <c r="A120" s="7"/>
      <c r="B120" s="7"/>
      <c r="G120" s="20"/>
      <c r="H120" s="6"/>
      <c r="I120" s="6"/>
      <c r="Q120" s="18"/>
      <c r="S120" s="18"/>
      <c r="AL120" s="19"/>
      <c r="AW120" s="21"/>
    </row>
    <row r="121" spans="1:49" ht="13.2">
      <c r="A121" s="7"/>
      <c r="B121" s="7"/>
      <c r="G121" s="20"/>
      <c r="H121" s="6"/>
      <c r="I121" s="6"/>
      <c r="Q121" s="18"/>
      <c r="S121" s="18"/>
      <c r="AL121" s="19"/>
      <c r="AW121" s="21"/>
    </row>
    <row r="122" spans="1:49" ht="13.2">
      <c r="A122" s="7"/>
      <c r="B122" s="7"/>
      <c r="G122" s="20"/>
      <c r="H122" s="6"/>
      <c r="I122" s="6"/>
      <c r="Q122" s="18"/>
      <c r="S122" s="18"/>
      <c r="AL122" s="19"/>
      <c r="AW122" s="21"/>
    </row>
    <row r="123" spans="1:49" ht="13.2">
      <c r="A123" s="7"/>
      <c r="B123" s="7"/>
      <c r="G123" s="20"/>
      <c r="H123" s="6"/>
      <c r="I123" s="6"/>
      <c r="Q123" s="18"/>
      <c r="S123" s="18"/>
      <c r="AL123" s="19"/>
      <c r="AW123" s="21"/>
    </row>
    <row r="124" spans="1:49" ht="13.2">
      <c r="A124" s="7"/>
      <c r="B124" s="7"/>
      <c r="G124" s="20"/>
      <c r="H124" s="6"/>
      <c r="I124" s="6"/>
      <c r="Q124" s="18"/>
      <c r="S124" s="18"/>
      <c r="AL124" s="19"/>
      <c r="AW124" s="21"/>
    </row>
    <row r="125" spans="1:49" ht="13.2">
      <c r="A125" s="7"/>
      <c r="B125" s="7"/>
      <c r="G125" s="20"/>
      <c r="H125" s="6"/>
      <c r="I125" s="6"/>
      <c r="Q125" s="18"/>
      <c r="S125" s="18"/>
      <c r="AL125" s="19"/>
      <c r="AW125" s="21"/>
    </row>
    <row r="126" spans="1:49" ht="13.2">
      <c r="A126" s="7"/>
      <c r="B126" s="7"/>
      <c r="G126" s="20"/>
      <c r="H126" s="6"/>
      <c r="I126" s="6"/>
      <c r="Q126" s="18"/>
      <c r="S126" s="18"/>
      <c r="AL126" s="19"/>
      <c r="AW126" s="21"/>
    </row>
    <row r="127" spans="1:49" ht="13.2">
      <c r="A127" s="7"/>
      <c r="B127" s="7"/>
      <c r="G127" s="20"/>
      <c r="H127" s="6"/>
      <c r="I127" s="6"/>
      <c r="Q127" s="18"/>
      <c r="S127" s="18"/>
      <c r="AL127" s="19"/>
      <c r="AW127" s="21"/>
    </row>
    <row r="128" spans="1:49" ht="13.2">
      <c r="A128" s="7"/>
      <c r="B128" s="7"/>
      <c r="G128" s="20"/>
      <c r="H128" s="6"/>
      <c r="I128" s="6"/>
      <c r="Q128" s="18"/>
      <c r="S128" s="18"/>
      <c r="AL128" s="19"/>
      <c r="AW128" s="21"/>
    </row>
    <row r="129" spans="1:49" ht="13.2">
      <c r="A129" s="7"/>
      <c r="B129" s="7"/>
      <c r="G129" s="20"/>
      <c r="H129" s="6"/>
      <c r="I129" s="6"/>
      <c r="Q129" s="18"/>
      <c r="S129" s="18"/>
      <c r="AL129" s="19"/>
      <c r="AW129" s="21"/>
    </row>
    <row r="130" spans="1:49" ht="13.2">
      <c r="A130" s="7"/>
      <c r="B130" s="7"/>
      <c r="G130" s="20"/>
      <c r="H130" s="6"/>
      <c r="I130" s="6"/>
      <c r="Q130" s="18"/>
      <c r="S130" s="18"/>
      <c r="AL130" s="19"/>
      <c r="AW130" s="21"/>
    </row>
    <row r="131" spans="1:49" ht="13.2">
      <c r="A131" s="7"/>
      <c r="B131" s="7"/>
      <c r="G131" s="20"/>
      <c r="H131" s="6"/>
      <c r="I131" s="6"/>
      <c r="Q131" s="18"/>
      <c r="S131" s="18"/>
      <c r="AL131" s="19"/>
      <c r="AW131" s="21"/>
    </row>
    <row r="132" spans="1:49" ht="13.2">
      <c r="A132" s="7"/>
      <c r="B132" s="7"/>
      <c r="G132" s="20"/>
      <c r="H132" s="6"/>
      <c r="I132" s="6"/>
      <c r="Q132" s="18"/>
      <c r="S132" s="18"/>
      <c r="AL132" s="19"/>
      <c r="AW132" s="21"/>
    </row>
    <row r="133" spans="1:49" ht="13.2">
      <c r="A133" s="7"/>
      <c r="B133" s="7"/>
      <c r="G133" s="20"/>
      <c r="H133" s="6"/>
      <c r="I133" s="6"/>
      <c r="Q133" s="18"/>
      <c r="S133" s="18"/>
      <c r="AL133" s="19"/>
      <c r="AW133" s="21"/>
    </row>
    <row r="134" spans="1:49" ht="13.2">
      <c r="A134" s="7"/>
      <c r="B134" s="7"/>
      <c r="G134" s="20"/>
      <c r="H134" s="6"/>
      <c r="I134" s="6"/>
      <c r="Q134" s="18"/>
      <c r="S134" s="18"/>
      <c r="AL134" s="19"/>
      <c r="AW134" s="21"/>
    </row>
    <row r="135" spans="1:49" ht="13.2">
      <c r="A135" s="7"/>
      <c r="B135" s="7"/>
      <c r="G135" s="20"/>
      <c r="H135" s="6"/>
      <c r="I135" s="6"/>
      <c r="Q135" s="18"/>
      <c r="S135" s="18"/>
      <c r="AL135" s="19"/>
      <c r="AW135" s="21"/>
    </row>
    <row r="136" spans="1:49" ht="13.2">
      <c r="A136" s="7"/>
      <c r="B136" s="7"/>
      <c r="G136" s="20"/>
      <c r="H136" s="6"/>
      <c r="I136" s="6"/>
      <c r="Q136" s="18"/>
      <c r="S136" s="18"/>
      <c r="AL136" s="19"/>
      <c r="AW136" s="21"/>
    </row>
    <row r="137" spans="1:49" ht="13.2">
      <c r="A137" s="7"/>
      <c r="B137" s="7"/>
      <c r="G137" s="20"/>
      <c r="H137" s="6"/>
      <c r="I137" s="6"/>
      <c r="Q137" s="18"/>
      <c r="S137" s="18"/>
      <c r="AL137" s="19"/>
      <c r="AW137" s="21"/>
    </row>
    <row r="138" spans="1:49" ht="13.2">
      <c r="A138" s="7"/>
      <c r="B138" s="7"/>
      <c r="G138" s="20"/>
      <c r="H138" s="6"/>
      <c r="I138" s="6"/>
      <c r="Q138" s="18"/>
      <c r="S138" s="18"/>
      <c r="AL138" s="19"/>
      <c r="AW138" s="21"/>
    </row>
    <row r="139" spans="1:49" ht="13.2">
      <c r="A139" s="7"/>
      <c r="B139" s="7"/>
      <c r="G139" s="20"/>
      <c r="H139" s="6"/>
      <c r="I139" s="6"/>
      <c r="Q139" s="18"/>
      <c r="S139" s="18"/>
      <c r="AL139" s="19"/>
      <c r="AW139" s="21"/>
    </row>
    <row r="140" spans="1:49" ht="13.2">
      <c r="A140" s="7"/>
      <c r="B140" s="7"/>
      <c r="G140" s="20"/>
      <c r="H140" s="6"/>
      <c r="I140" s="6"/>
      <c r="Q140" s="18"/>
      <c r="S140" s="18"/>
      <c r="AL140" s="19"/>
      <c r="AW140" s="21"/>
    </row>
    <row r="141" spans="1:49" ht="13.2">
      <c r="A141" s="7"/>
      <c r="B141" s="7"/>
      <c r="G141" s="20"/>
      <c r="H141" s="6"/>
      <c r="I141" s="6"/>
      <c r="Q141" s="18"/>
      <c r="S141" s="18"/>
      <c r="AL141" s="19"/>
      <c r="AW141" s="21"/>
    </row>
    <row r="142" spans="1:49" ht="13.2">
      <c r="A142" s="7"/>
      <c r="B142" s="7"/>
      <c r="G142" s="20"/>
      <c r="H142" s="6"/>
      <c r="I142" s="6"/>
      <c r="Q142" s="18"/>
      <c r="S142" s="18"/>
      <c r="AL142" s="19"/>
      <c r="AW142" s="21"/>
    </row>
    <row r="143" spans="1:49" ht="13.2">
      <c r="A143" s="7"/>
      <c r="B143" s="7"/>
      <c r="G143" s="20"/>
      <c r="H143" s="6"/>
      <c r="I143" s="6"/>
      <c r="Q143" s="18"/>
      <c r="S143" s="18"/>
      <c r="AL143" s="19"/>
      <c r="AW143" s="21"/>
    </row>
    <row r="144" spans="1:49" ht="13.2">
      <c r="A144" s="7"/>
      <c r="B144" s="7"/>
      <c r="G144" s="20"/>
      <c r="H144" s="6"/>
      <c r="I144" s="6"/>
      <c r="Q144" s="18"/>
      <c r="S144" s="18"/>
      <c r="AL144" s="19"/>
      <c r="AW144" s="21"/>
    </row>
    <row r="145" spans="1:49" ht="13.2">
      <c r="A145" s="7"/>
      <c r="B145" s="7"/>
      <c r="G145" s="20"/>
      <c r="H145" s="6"/>
      <c r="I145" s="6"/>
      <c r="Q145" s="18"/>
      <c r="S145" s="18"/>
      <c r="AL145" s="19"/>
      <c r="AW145" s="21"/>
    </row>
    <row r="146" spans="1:49" ht="13.2">
      <c r="A146" s="7"/>
      <c r="B146" s="7"/>
      <c r="G146" s="20"/>
      <c r="H146" s="6"/>
      <c r="I146" s="6"/>
      <c r="Q146" s="18"/>
      <c r="S146" s="18"/>
      <c r="AL146" s="19"/>
      <c r="AW146" s="21"/>
    </row>
    <row r="147" spans="1:49" ht="13.2">
      <c r="A147" s="7"/>
      <c r="B147" s="7"/>
      <c r="G147" s="20"/>
      <c r="H147" s="6"/>
      <c r="I147" s="6"/>
      <c r="Q147" s="18"/>
      <c r="S147" s="18"/>
      <c r="AL147" s="19"/>
      <c r="AW147" s="21"/>
    </row>
    <row r="148" spans="1:49" ht="13.2">
      <c r="A148" s="7"/>
      <c r="B148" s="7"/>
      <c r="G148" s="20"/>
      <c r="H148" s="6"/>
      <c r="I148" s="6"/>
      <c r="Q148" s="18"/>
      <c r="S148" s="18"/>
      <c r="AL148" s="19"/>
      <c r="AW148" s="21"/>
    </row>
    <row r="149" spans="1:49" ht="13.2">
      <c r="A149" s="7"/>
      <c r="B149" s="7"/>
      <c r="G149" s="20"/>
      <c r="H149" s="6"/>
      <c r="I149" s="6"/>
      <c r="Q149" s="18"/>
      <c r="S149" s="18"/>
      <c r="AL149" s="19"/>
      <c r="AW149" s="21"/>
    </row>
    <row r="150" spans="1:49" ht="13.2">
      <c r="A150" s="7"/>
      <c r="B150" s="7"/>
      <c r="G150" s="20"/>
      <c r="H150" s="6"/>
      <c r="I150" s="6"/>
      <c r="Q150" s="18"/>
      <c r="S150" s="18"/>
      <c r="AL150" s="19"/>
      <c r="AW150" s="21"/>
    </row>
    <row r="151" spans="1:49" ht="13.2">
      <c r="A151" s="7"/>
      <c r="B151" s="7"/>
      <c r="G151" s="20"/>
      <c r="H151" s="6"/>
      <c r="I151" s="6"/>
      <c r="Q151" s="18"/>
      <c r="S151" s="18"/>
      <c r="AL151" s="19"/>
      <c r="AW151" s="21"/>
    </row>
    <row r="152" spans="1:49" ht="13.2">
      <c r="A152" s="7"/>
      <c r="B152" s="7"/>
      <c r="G152" s="20"/>
      <c r="H152" s="6"/>
      <c r="I152" s="6"/>
      <c r="Q152" s="18"/>
      <c r="S152" s="18"/>
      <c r="AL152" s="19"/>
      <c r="AW152" s="21"/>
    </row>
    <row r="153" spans="1:49" ht="13.2">
      <c r="A153" s="7"/>
      <c r="B153" s="7"/>
      <c r="G153" s="20"/>
      <c r="H153" s="6"/>
      <c r="I153" s="6"/>
      <c r="Q153" s="18"/>
      <c r="S153" s="18"/>
      <c r="AL153" s="19"/>
      <c r="AW153" s="21"/>
    </row>
    <row r="154" spans="1:49" ht="13.2">
      <c r="A154" s="7"/>
      <c r="B154" s="7"/>
      <c r="G154" s="20"/>
      <c r="H154" s="6"/>
      <c r="I154" s="6"/>
      <c r="Q154" s="18"/>
      <c r="S154" s="18"/>
      <c r="AL154" s="19"/>
      <c r="AW154" s="21"/>
    </row>
    <row r="155" spans="1:49" ht="13.2">
      <c r="A155" s="7"/>
      <c r="B155" s="7"/>
      <c r="G155" s="20"/>
      <c r="H155" s="6"/>
      <c r="I155" s="6"/>
      <c r="Q155" s="18"/>
      <c r="S155" s="18"/>
      <c r="AL155" s="19"/>
      <c r="AW155" s="21"/>
    </row>
    <row r="156" spans="1:49" ht="13.2">
      <c r="A156" s="7"/>
      <c r="B156" s="7"/>
      <c r="G156" s="20"/>
      <c r="H156" s="6"/>
      <c r="I156" s="6"/>
      <c r="Q156" s="18"/>
      <c r="S156" s="18"/>
      <c r="AL156" s="19"/>
      <c r="AW156" s="21"/>
    </row>
    <row r="157" spans="1:49" ht="13.2">
      <c r="A157" s="7"/>
      <c r="B157" s="7"/>
      <c r="G157" s="20"/>
      <c r="H157" s="6"/>
      <c r="I157" s="6"/>
      <c r="Q157" s="18"/>
      <c r="S157" s="18"/>
      <c r="AL157" s="19"/>
      <c r="AW157" s="21"/>
    </row>
    <row r="158" spans="1:49" ht="13.2">
      <c r="A158" s="7"/>
      <c r="B158" s="7"/>
      <c r="G158" s="20"/>
      <c r="H158" s="6"/>
      <c r="I158" s="6"/>
      <c r="Q158" s="18"/>
      <c r="S158" s="18"/>
      <c r="AL158" s="19"/>
      <c r="AW158" s="21"/>
    </row>
    <row r="159" spans="1:49" ht="13.2">
      <c r="A159" s="7"/>
      <c r="B159" s="7"/>
      <c r="G159" s="20"/>
      <c r="H159" s="6"/>
      <c r="I159" s="6"/>
      <c r="Q159" s="18"/>
      <c r="S159" s="18"/>
      <c r="AL159" s="19"/>
      <c r="AW159" s="21"/>
    </row>
    <row r="160" spans="1:49" ht="13.2">
      <c r="A160" s="7"/>
      <c r="B160" s="7"/>
      <c r="G160" s="20"/>
      <c r="H160" s="6"/>
      <c r="I160" s="6"/>
      <c r="Q160" s="18"/>
      <c r="S160" s="18"/>
      <c r="AL160" s="19"/>
      <c r="AW160" s="21"/>
    </row>
    <row r="161" spans="1:49" ht="13.2">
      <c r="A161" s="7"/>
      <c r="B161" s="7"/>
      <c r="G161" s="20"/>
      <c r="H161" s="6"/>
      <c r="I161" s="6"/>
      <c r="Q161" s="18"/>
      <c r="S161" s="18"/>
      <c r="AL161" s="19"/>
      <c r="AW161" s="21"/>
    </row>
    <row r="162" spans="1:49" ht="13.2">
      <c r="A162" s="7"/>
      <c r="B162" s="7"/>
      <c r="G162" s="20"/>
      <c r="H162" s="6"/>
      <c r="I162" s="6"/>
      <c r="Q162" s="18"/>
      <c r="S162" s="18"/>
      <c r="AL162" s="19"/>
      <c r="AW162" s="21"/>
    </row>
    <row r="163" spans="1:49" ht="13.2">
      <c r="A163" s="7"/>
      <c r="B163" s="7"/>
      <c r="G163" s="20"/>
      <c r="H163" s="6"/>
      <c r="I163" s="6"/>
      <c r="Q163" s="18"/>
      <c r="S163" s="18"/>
      <c r="AL163" s="19"/>
      <c r="AW163" s="21"/>
    </row>
    <row r="164" spans="1:49" ht="13.2">
      <c r="A164" s="7"/>
      <c r="B164" s="7"/>
      <c r="G164" s="20"/>
      <c r="H164" s="6"/>
      <c r="I164" s="6"/>
      <c r="Q164" s="18"/>
      <c r="S164" s="18"/>
      <c r="AL164" s="19"/>
      <c r="AW164" s="21"/>
    </row>
    <row r="165" spans="1:49" ht="13.2">
      <c r="A165" s="7"/>
      <c r="B165" s="7"/>
      <c r="G165" s="20"/>
      <c r="H165" s="6"/>
      <c r="I165" s="6"/>
      <c r="Q165" s="18"/>
      <c r="S165" s="18"/>
      <c r="AL165" s="19"/>
      <c r="AW165" s="21"/>
    </row>
    <row r="166" spans="1:49" ht="13.2">
      <c r="A166" s="7"/>
      <c r="B166" s="7"/>
      <c r="G166" s="20"/>
      <c r="H166" s="6"/>
      <c r="I166" s="6"/>
      <c r="Q166" s="18"/>
      <c r="S166" s="18"/>
      <c r="AL166" s="19"/>
      <c r="AW166" s="21"/>
    </row>
    <row r="167" spans="1:49" ht="13.2">
      <c r="A167" s="7"/>
      <c r="B167" s="7"/>
      <c r="G167" s="20"/>
      <c r="H167" s="6"/>
      <c r="I167" s="6"/>
      <c r="Q167" s="18"/>
      <c r="S167" s="18"/>
      <c r="AL167" s="19"/>
      <c r="AW167" s="21"/>
    </row>
    <row r="168" spans="1:49" ht="13.2">
      <c r="A168" s="7"/>
      <c r="B168" s="7"/>
      <c r="G168" s="20"/>
      <c r="H168" s="6"/>
      <c r="I168" s="6"/>
      <c r="Q168" s="18"/>
      <c r="S168" s="18"/>
      <c r="AL168" s="19"/>
      <c r="AW168" s="21"/>
    </row>
    <row r="169" spans="1:49" ht="13.2">
      <c r="A169" s="7"/>
      <c r="B169" s="7"/>
      <c r="G169" s="20"/>
      <c r="H169" s="6"/>
      <c r="I169" s="6"/>
      <c r="Q169" s="18"/>
      <c r="S169" s="18"/>
      <c r="AL169" s="19"/>
      <c r="AW169" s="21"/>
    </row>
    <row r="170" spans="1:49" ht="13.2">
      <c r="A170" s="7"/>
      <c r="B170" s="7"/>
      <c r="G170" s="20"/>
      <c r="H170" s="6"/>
      <c r="I170" s="6"/>
      <c r="Q170" s="18"/>
      <c r="S170" s="18"/>
      <c r="AL170" s="19"/>
      <c r="AW170" s="21"/>
    </row>
    <row r="171" spans="1:49" ht="13.2">
      <c r="A171" s="7"/>
      <c r="B171" s="7"/>
      <c r="G171" s="20"/>
      <c r="H171" s="6"/>
      <c r="I171" s="6"/>
      <c r="Q171" s="18"/>
      <c r="S171" s="18"/>
      <c r="AL171" s="19"/>
      <c r="AW171" s="21"/>
    </row>
    <row r="172" spans="1:49" ht="13.2">
      <c r="A172" s="7"/>
      <c r="B172" s="7"/>
      <c r="G172" s="20"/>
      <c r="H172" s="6"/>
      <c r="I172" s="6"/>
      <c r="Q172" s="18"/>
      <c r="S172" s="18"/>
      <c r="AL172" s="19"/>
      <c r="AW172" s="21"/>
    </row>
    <row r="173" spans="1:49" ht="13.2">
      <c r="A173" s="7"/>
      <c r="B173" s="7"/>
      <c r="G173" s="20"/>
      <c r="H173" s="6"/>
      <c r="I173" s="6"/>
      <c r="Q173" s="18"/>
      <c r="S173" s="18"/>
      <c r="AL173" s="19"/>
      <c r="AW173" s="21"/>
    </row>
    <row r="174" spans="1:49" ht="13.2">
      <c r="A174" s="7"/>
      <c r="B174" s="7"/>
      <c r="G174" s="20"/>
      <c r="H174" s="6"/>
      <c r="I174" s="6"/>
      <c r="Q174" s="18"/>
      <c r="S174" s="18"/>
      <c r="AL174" s="19"/>
      <c r="AW174" s="21"/>
    </row>
    <row r="175" spans="1:49" ht="13.2">
      <c r="A175" s="7"/>
      <c r="B175" s="7"/>
      <c r="G175" s="20"/>
      <c r="H175" s="6"/>
      <c r="I175" s="6"/>
      <c r="Q175" s="18"/>
      <c r="S175" s="18"/>
      <c r="AL175" s="19"/>
      <c r="AW175" s="21"/>
    </row>
    <row r="176" spans="1:49" ht="13.2">
      <c r="A176" s="7"/>
      <c r="B176" s="7"/>
      <c r="G176" s="20"/>
      <c r="H176" s="6"/>
      <c r="I176" s="6"/>
      <c r="Q176" s="18"/>
      <c r="S176" s="18"/>
      <c r="AL176" s="19"/>
      <c r="AW176" s="21"/>
    </row>
    <row r="177" spans="1:49" ht="13.2">
      <c r="A177" s="7"/>
      <c r="B177" s="7"/>
      <c r="G177" s="20"/>
      <c r="H177" s="6"/>
      <c r="I177" s="6"/>
      <c r="Q177" s="18"/>
      <c r="S177" s="18"/>
      <c r="AL177" s="19"/>
      <c r="AW177" s="21"/>
    </row>
    <row r="178" spans="1:49" ht="13.2">
      <c r="A178" s="7"/>
      <c r="B178" s="7"/>
      <c r="G178" s="20"/>
      <c r="H178" s="6"/>
      <c r="I178" s="6"/>
      <c r="Q178" s="18"/>
      <c r="S178" s="18"/>
      <c r="AL178" s="19"/>
      <c r="AW178" s="21"/>
    </row>
    <row r="179" spans="1:49" ht="13.2">
      <c r="A179" s="7"/>
      <c r="B179" s="7"/>
      <c r="G179" s="20"/>
      <c r="H179" s="6"/>
      <c r="I179" s="6"/>
      <c r="Q179" s="18"/>
      <c r="S179" s="18"/>
      <c r="AL179" s="19"/>
      <c r="AW179" s="21"/>
    </row>
    <row r="180" spans="1:49" ht="13.2">
      <c r="A180" s="7"/>
      <c r="B180" s="7"/>
      <c r="G180" s="20"/>
      <c r="H180" s="6"/>
      <c r="I180" s="6"/>
      <c r="Q180" s="18"/>
      <c r="S180" s="18"/>
      <c r="AL180" s="19"/>
      <c r="AW180" s="21"/>
    </row>
    <row r="181" spans="1:49" ht="13.2">
      <c r="A181" s="7"/>
      <c r="B181" s="7"/>
      <c r="G181" s="20"/>
      <c r="H181" s="6"/>
      <c r="I181" s="6"/>
      <c r="Q181" s="18"/>
      <c r="S181" s="18"/>
      <c r="AL181" s="19"/>
      <c r="AW181" s="21"/>
    </row>
    <row r="182" spans="1:49" ht="13.2">
      <c r="A182" s="7"/>
      <c r="B182" s="7"/>
      <c r="G182" s="20"/>
      <c r="H182" s="6"/>
      <c r="I182" s="6"/>
      <c r="Q182" s="18"/>
      <c r="S182" s="18"/>
      <c r="AL182" s="19"/>
      <c r="AW182" s="21"/>
    </row>
    <row r="183" spans="1:49" ht="13.2">
      <c r="A183" s="7"/>
      <c r="B183" s="7"/>
      <c r="G183" s="20"/>
      <c r="H183" s="6"/>
      <c r="I183" s="6"/>
      <c r="Q183" s="18"/>
      <c r="S183" s="18"/>
      <c r="AL183" s="19"/>
      <c r="AW183" s="21"/>
    </row>
    <row r="184" spans="1:49" ht="13.2">
      <c r="A184" s="7"/>
      <c r="B184" s="7"/>
      <c r="G184" s="20"/>
      <c r="H184" s="6"/>
      <c r="I184" s="6"/>
      <c r="Q184" s="18"/>
      <c r="S184" s="18"/>
      <c r="AL184" s="19"/>
      <c r="AW184" s="21"/>
    </row>
    <row r="185" spans="1:49" ht="13.2">
      <c r="A185" s="7"/>
      <c r="B185" s="7"/>
      <c r="G185" s="20"/>
      <c r="H185" s="6"/>
      <c r="I185" s="6"/>
      <c r="Q185" s="18"/>
      <c r="S185" s="18"/>
      <c r="AL185" s="19"/>
      <c r="AW185" s="21"/>
    </row>
    <row r="186" spans="1:49" ht="13.2">
      <c r="A186" s="7"/>
      <c r="B186" s="7"/>
      <c r="G186" s="20"/>
      <c r="H186" s="6"/>
      <c r="I186" s="6"/>
      <c r="Q186" s="18"/>
      <c r="S186" s="18"/>
      <c r="AL186" s="19"/>
      <c r="AW186" s="21"/>
    </row>
    <row r="187" spans="1:49" ht="13.2">
      <c r="A187" s="7"/>
      <c r="B187" s="7"/>
      <c r="G187" s="20"/>
      <c r="H187" s="6"/>
      <c r="I187" s="6"/>
      <c r="Q187" s="18"/>
      <c r="S187" s="18"/>
      <c r="AL187" s="19"/>
      <c r="AW187" s="21"/>
    </row>
    <row r="188" spans="1:49" ht="13.2">
      <c r="A188" s="7"/>
      <c r="B188" s="7"/>
      <c r="G188" s="20"/>
      <c r="H188" s="6"/>
      <c r="I188" s="6"/>
      <c r="Q188" s="18"/>
      <c r="S188" s="18"/>
      <c r="AL188" s="19"/>
      <c r="AW188" s="21"/>
    </row>
    <row r="189" spans="1:49" ht="13.2">
      <c r="A189" s="7"/>
      <c r="B189" s="7"/>
      <c r="G189" s="20"/>
      <c r="H189" s="6"/>
      <c r="I189" s="6"/>
      <c r="Q189" s="18"/>
      <c r="S189" s="18"/>
      <c r="AL189" s="19"/>
      <c r="AW189" s="21"/>
    </row>
    <row r="190" spans="1:49" ht="13.2">
      <c r="A190" s="7"/>
      <c r="B190" s="7"/>
      <c r="G190" s="20"/>
      <c r="H190" s="6"/>
      <c r="I190" s="6"/>
      <c r="Q190" s="18"/>
      <c r="S190" s="18"/>
      <c r="AL190" s="19"/>
      <c r="AW190" s="21"/>
    </row>
    <row r="191" spans="1:49" ht="13.2">
      <c r="A191" s="7"/>
      <c r="B191" s="7"/>
      <c r="G191" s="20"/>
      <c r="H191" s="6"/>
      <c r="I191" s="6"/>
      <c r="Q191" s="18"/>
      <c r="S191" s="18"/>
      <c r="AL191" s="19"/>
      <c r="AW191" s="21"/>
    </row>
    <row r="192" spans="1:49" ht="13.2">
      <c r="A192" s="7"/>
      <c r="B192" s="7"/>
      <c r="G192" s="20"/>
      <c r="H192" s="6"/>
      <c r="I192" s="6"/>
      <c r="Q192" s="18"/>
      <c r="S192" s="18"/>
      <c r="AL192" s="19"/>
      <c r="AW192" s="21"/>
    </row>
    <row r="193" spans="1:49" ht="13.2">
      <c r="A193" s="7"/>
      <c r="B193" s="7"/>
      <c r="G193" s="20"/>
      <c r="H193" s="6"/>
      <c r="I193" s="6"/>
      <c r="Q193" s="18"/>
      <c r="S193" s="18"/>
      <c r="AL193" s="19"/>
      <c r="AW193" s="21"/>
    </row>
    <row r="194" spans="1:49" ht="13.2">
      <c r="A194" s="7"/>
      <c r="B194" s="7"/>
      <c r="G194" s="20"/>
      <c r="H194" s="6"/>
      <c r="I194" s="6"/>
      <c r="Q194" s="18"/>
      <c r="S194" s="18"/>
      <c r="AL194" s="19"/>
      <c r="AW194" s="21"/>
    </row>
    <row r="195" spans="1:49" ht="13.2">
      <c r="A195" s="7"/>
      <c r="B195" s="7"/>
      <c r="G195" s="20"/>
      <c r="H195" s="6"/>
      <c r="I195" s="6"/>
      <c r="Q195" s="18"/>
      <c r="S195" s="18"/>
      <c r="AL195" s="19"/>
      <c r="AW195" s="21"/>
    </row>
    <row r="196" spans="1:49" ht="13.2">
      <c r="A196" s="7"/>
      <c r="B196" s="7"/>
      <c r="G196" s="20"/>
      <c r="H196" s="6"/>
      <c r="I196" s="6"/>
      <c r="Q196" s="18"/>
      <c r="S196" s="18"/>
      <c r="AL196" s="19"/>
      <c r="AW196" s="21"/>
    </row>
    <row r="197" spans="1:49" ht="13.2">
      <c r="A197" s="7"/>
      <c r="B197" s="7"/>
      <c r="G197" s="20"/>
      <c r="H197" s="6"/>
      <c r="I197" s="6"/>
      <c r="Q197" s="18"/>
      <c r="S197" s="18"/>
      <c r="AL197" s="19"/>
      <c r="AW197" s="21"/>
    </row>
    <row r="198" spans="1:49" ht="13.2">
      <c r="A198" s="7"/>
      <c r="B198" s="7"/>
      <c r="G198" s="20"/>
      <c r="H198" s="6"/>
      <c r="I198" s="6"/>
      <c r="Q198" s="18"/>
      <c r="S198" s="18"/>
      <c r="AL198" s="19"/>
      <c r="AW198" s="21"/>
    </row>
    <row r="199" spans="1:49" ht="13.2">
      <c r="A199" s="7"/>
      <c r="B199" s="7"/>
      <c r="G199" s="20"/>
      <c r="H199" s="6"/>
      <c r="I199" s="6"/>
      <c r="Q199" s="18"/>
      <c r="S199" s="18"/>
      <c r="AL199" s="19"/>
      <c r="AW199" s="21"/>
    </row>
    <row r="200" spans="1:49" ht="13.2">
      <c r="A200" s="7"/>
      <c r="B200" s="7"/>
      <c r="G200" s="20"/>
      <c r="H200" s="6"/>
      <c r="I200" s="6"/>
      <c r="Q200" s="18"/>
      <c r="S200" s="18"/>
      <c r="AL200" s="19"/>
      <c r="AW200" s="21"/>
    </row>
    <row r="201" spans="1:49" ht="13.2">
      <c r="A201" s="7"/>
      <c r="B201" s="7"/>
      <c r="G201" s="20"/>
      <c r="H201" s="6"/>
      <c r="I201" s="6"/>
      <c r="Q201" s="18"/>
      <c r="S201" s="18"/>
      <c r="AL201" s="19"/>
      <c r="AW201" s="21"/>
    </row>
    <row r="202" spans="1:49" ht="13.2">
      <c r="A202" s="7"/>
      <c r="B202" s="7"/>
      <c r="G202" s="20"/>
      <c r="H202" s="6"/>
      <c r="I202" s="6"/>
      <c r="Q202" s="18"/>
      <c r="S202" s="18"/>
      <c r="AL202" s="19"/>
      <c r="AW202" s="21"/>
    </row>
    <row r="203" spans="1:49" ht="13.2">
      <c r="A203" s="7"/>
      <c r="B203" s="7"/>
      <c r="G203" s="20"/>
      <c r="H203" s="6"/>
      <c r="I203" s="6"/>
      <c r="Q203" s="18"/>
      <c r="S203" s="18"/>
      <c r="AL203" s="19"/>
      <c r="AW203" s="21"/>
    </row>
    <row r="204" spans="1:49" ht="13.2">
      <c r="A204" s="7"/>
      <c r="B204" s="7"/>
      <c r="G204" s="20"/>
      <c r="H204" s="6"/>
      <c r="I204" s="6"/>
      <c r="Q204" s="18"/>
      <c r="S204" s="18"/>
      <c r="AL204" s="19"/>
      <c r="AW204" s="21"/>
    </row>
    <row r="205" spans="1:49" ht="13.2">
      <c r="A205" s="7"/>
      <c r="B205" s="7"/>
      <c r="G205" s="20"/>
      <c r="H205" s="6"/>
      <c r="I205" s="6"/>
      <c r="Q205" s="18"/>
      <c r="S205" s="18"/>
      <c r="AL205" s="19"/>
      <c r="AW205" s="21"/>
    </row>
    <row r="206" spans="1:49" ht="13.2">
      <c r="A206" s="7"/>
      <c r="B206" s="7"/>
      <c r="G206" s="20"/>
      <c r="H206" s="6"/>
      <c r="I206" s="6"/>
      <c r="Q206" s="18"/>
      <c r="S206" s="18"/>
      <c r="AL206" s="19"/>
      <c r="AW206" s="21"/>
    </row>
    <row r="207" spans="1:49" ht="13.2">
      <c r="A207" s="7"/>
      <c r="B207" s="7"/>
      <c r="G207" s="20"/>
      <c r="H207" s="6"/>
      <c r="I207" s="6"/>
      <c r="Q207" s="18"/>
      <c r="S207" s="18"/>
      <c r="AL207" s="19"/>
      <c r="AW207" s="21"/>
    </row>
    <row r="208" spans="1:49" ht="13.2">
      <c r="A208" s="7"/>
      <c r="B208" s="7"/>
      <c r="G208" s="20"/>
      <c r="H208" s="6"/>
      <c r="I208" s="6"/>
      <c r="Q208" s="18"/>
      <c r="S208" s="18"/>
      <c r="AL208" s="19"/>
      <c r="AW208" s="21"/>
    </row>
    <row r="209" spans="1:49" ht="13.2">
      <c r="A209" s="7"/>
      <c r="B209" s="7"/>
      <c r="G209" s="20"/>
      <c r="H209" s="6"/>
      <c r="I209" s="6"/>
      <c r="Q209" s="18"/>
      <c r="S209" s="18"/>
      <c r="AL209" s="19"/>
      <c r="AW209" s="21"/>
    </row>
    <row r="210" spans="1:49" ht="13.2">
      <c r="A210" s="7"/>
      <c r="B210" s="7"/>
      <c r="G210" s="20"/>
      <c r="H210" s="6"/>
      <c r="I210" s="6"/>
      <c r="Q210" s="18"/>
      <c r="S210" s="18"/>
      <c r="AL210" s="19"/>
      <c r="AW210" s="21"/>
    </row>
    <row r="211" spans="1:49" ht="13.2">
      <c r="A211" s="7"/>
      <c r="B211" s="7"/>
      <c r="G211" s="20"/>
      <c r="H211" s="6"/>
      <c r="I211" s="6"/>
      <c r="Q211" s="18"/>
      <c r="S211" s="18"/>
      <c r="AL211" s="19"/>
      <c r="AW211" s="21"/>
    </row>
    <row r="212" spans="1:49" ht="13.2">
      <c r="A212" s="7"/>
      <c r="B212" s="7"/>
      <c r="G212" s="20"/>
      <c r="H212" s="6"/>
      <c r="I212" s="6"/>
      <c r="Q212" s="18"/>
      <c r="S212" s="18"/>
      <c r="AL212" s="19"/>
      <c r="AW212" s="21"/>
    </row>
    <row r="213" spans="1:49" ht="13.2">
      <c r="A213" s="7"/>
      <c r="B213" s="7"/>
      <c r="G213" s="20"/>
      <c r="H213" s="6"/>
      <c r="I213" s="6"/>
      <c r="Q213" s="18"/>
      <c r="S213" s="18"/>
      <c r="AL213" s="19"/>
      <c r="AW213" s="21"/>
    </row>
    <row r="214" spans="1:49" ht="13.2">
      <c r="A214" s="7"/>
      <c r="B214" s="7"/>
      <c r="G214" s="20"/>
      <c r="H214" s="6"/>
      <c r="I214" s="6"/>
      <c r="Q214" s="18"/>
      <c r="S214" s="18"/>
      <c r="AL214" s="19"/>
      <c r="AW214" s="21"/>
    </row>
    <row r="215" spans="1:49" ht="13.2">
      <c r="A215" s="7"/>
      <c r="B215" s="7"/>
      <c r="G215" s="20"/>
      <c r="H215" s="6"/>
      <c r="I215" s="6"/>
      <c r="Q215" s="18"/>
      <c r="S215" s="18"/>
      <c r="AL215" s="19"/>
      <c r="AW215" s="21"/>
    </row>
    <row r="216" spans="1:49" ht="13.2">
      <c r="A216" s="7"/>
      <c r="B216" s="7"/>
      <c r="G216" s="20"/>
      <c r="H216" s="6"/>
      <c r="I216" s="6"/>
      <c r="Q216" s="18"/>
      <c r="S216" s="18"/>
      <c r="AL216" s="19"/>
      <c r="AW216" s="21"/>
    </row>
    <row r="217" spans="1:49" ht="13.2">
      <c r="A217" s="7"/>
      <c r="B217" s="7"/>
      <c r="G217" s="20"/>
      <c r="H217" s="6"/>
      <c r="I217" s="6"/>
      <c r="Q217" s="18"/>
      <c r="S217" s="18"/>
      <c r="AL217" s="19"/>
      <c r="AW217" s="21"/>
    </row>
    <row r="218" spans="1:49" ht="13.2">
      <c r="A218" s="7"/>
      <c r="B218" s="7"/>
      <c r="G218" s="20"/>
      <c r="H218" s="6"/>
      <c r="I218" s="6"/>
      <c r="Q218" s="18"/>
      <c r="S218" s="18"/>
      <c r="AL218" s="19"/>
      <c r="AW218" s="21"/>
    </row>
    <row r="219" spans="1:49" ht="13.2">
      <c r="A219" s="7"/>
      <c r="B219" s="7"/>
      <c r="G219" s="20"/>
      <c r="H219" s="6"/>
      <c r="I219" s="6"/>
      <c r="Q219" s="18"/>
      <c r="S219" s="18"/>
      <c r="AL219" s="19"/>
      <c r="AW219" s="21"/>
    </row>
    <row r="220" spans="1:49" ht="13.2">
      <c r="A220" s="7"/>
      <c r="B220" s="7"/>
      <c r="G220" s="20"/>
      <c r="H220" s="6"/>
      <c r="I220" s="6"/>
      <c r="Q220" s="18"/>
      <c r="S220" s="18"/>
      <c r="AL220" s="19"/>
      <c r="AW220" s="21"/>
    </row>
    <row r="221" spans="1:49" ht="13.2">
      <c r="A221" s="7"/>
      <c r="B221" s="7"/>
      <c r="G221" s="20"/>
      <c r="H221" s="6"/>
      <c r="I221" s="6"/>
      <c r="Q221" s="18"/>
      <c r="S221" s="18"/>
      <c r="AL221" s="19"/>
      <c r="AW221" s="21"/>
    </row>
    <row r="222" spans="1:49" ht="13.2">
      <c r="A222" s="7"/>
      <c r="B222" s="7"/>
      <c r="G222" s="20"/>
      <c r="H222" s="6"/>
      <c r="I222" s="6"/>
      <c r="Q222" s="18"/>
      <c r="S222" s="18"/>
      <c r="AL222" s="19"/>
      <c r="AW222" s="21"/>
    </row>
    <row r="223" spans="1:49" ht="13.2">
      <c r="A223" s="7"/>
      <c r="B223" s="7"/>
      <c r="G223" s="20"/>
      <c r="H223" s="6"/>
      <c r="I223" s="6"/>
      <c r="Q223" s="18"/>
      <c r="S223" s="18"/>
      <c r="AL223" s="19"/>
      <c r="AW223" s="21"/>
    </row>
    <row r="224" spans="1:49" ht="13.2">
      <c r="A224" s="7"/>
      <c r="B224" s="7"/>
      <c r="G224" s="20"/>
      <c r="H224" s="6"/>
      <c r="I224" s="6"/>
      <c r="Q224" s="18"/>
      <c r="S224" s="18"/>
      <c r="AL224" s="19"/>
      <c r="AW224" s="21"/>
    </row>
    <row r="225" spans="1:49" ht="13.2">
      <c r="A225" s="7"/>
      <c r="B225" s="7"/>
      <c r="G225" s="20"/>
      <c r="H225" s="6"/>
      <c r="I225" s="6"/>
      <c r="Q225" s="18"/>
      <c r="S225" s="18"/>
      <c r="AL225" s="19"/>
      <c r="AW225" s="21"/>
    </row>
    <row r="226" spans="1:49" ht="13.2">
      <c r="A226" s="7"/>
      <c r="B226" s="7"/>
      <c r="G226" s="20"/>
      <c r="H226" s="6"/>
      <c r="I226" s="6"/>
      <c r="Q226" s="18"/>
      <c r="S226" s="18"/>
      <c r="AL226" s="19"/>
      <c r="AW226" s="21"/>
    </row>
    <row r="227" spans="1:49" ht="13.2">
      <c r="A227" s="7"/>
      <c r="B227" s="7"/>
      <c r="G227" s="20"/>
      <c r="H227" s="6"/>
      <c r="I227" s="6"/>
      <c r="Q227" s="18"/>
      <c r="S227" s="18"/>
      <c r="AL227" s="19"/>
      <c r="AW227" s="21"/>
    </row>
    <row r="228" spans="1:49" ht="13.2">
      <c r="A228" s="7"/>
      <c r="B228" s="7"/>
      <c r="G228" s="20"/>
      <c r="H228" s="6"/>
      <c r="I228" s="6"/>
      <c r="Q228" s="18"/>
      <c r="S228" s="18"/>
      <c r="AL228" s="19"/>
      <c r="AW228" s="21"/>
    </row>
    <row r="229" spans="1:49" ht="13.2">
      <c r="A229" s="7"/>
      <c r="B229" s="7"/>
      <c r="G229" s="20"/>
      <c r="H229" s="6"/>
      <c r="I229" s="6"/>
      <c r="Q229" s="18"/>
      <c r="S229" s="18"/>
      <c r="AL229" s="19"/>
      <c r="AW229" s="21"/>
    </row>
    <row r="230" spans="1:49" ht="13.2">
      <c r="A230" s="7"/>
      <c r="B230" s="7"/>
      <c r="G230" s="20"/>
      <c r="H230" s="6"/>
      <c r="I230" s="6"/>
      <c r="Q230" s="18"/>
      <c r="S230" s="18"/>
      <c r="AL230" s="19"/>
      <c r="AW230" s="21"/>
    </row>
    <row r="231" spans="1:49" ht="13.2">
      <c r="A231" s="7"/>
      <c r="B231" s="7"/>
      <c r="G231" s="20"/>
      <c r="H231" s="6"/>
      <c r="I231" s="6"/>
      <c r="Q231" s="18"/>
      <c r="S231" s="18"/>
      <c r="AL231" s="19"/>
      <c r="AW231" s="21"/>
    </row>
    <row r="232" spans="1:49" ht="13.2">
      <c r="A232" s="7"/>
      <c r="B232" s="7"/>
      <c r="G232" s="20"/>
      <c r="H232" s="6"/>
      <c r="I232" s="6"/>
      <c r="Q232" s="18"/>
      <c r="S232" s="18"/>
      <c r="AL232" s="19"/>
      <c r="AW232" s="21"/>
    </row>
    <row r="233" spans="1:49" ht="13.2">
      <c r="A233" s="7"/>
      <c r="B233" s="7"/>
      <c r="G233" s="20"/>
      <c r="H233" s="6"/>
      <c r="I233" s="6"/>
      <c r="Q233" s="18"/>
      <c r="S233" s="18"/>
      <c r="AL233" s="19"/>
      <c r="AW233" s="21"/>
    </row>
    <row r="234" spans="1:49" ht="13.2">
      <c r="A234" s="7"/>
      <c r="B234" s="7"/>
      <c r="G234" s="20"/>
      <c r="H234" s="6"/>
      <c r="I234" s="6"/>
      <c r="Q234" s="18"/>
      <c r="S234" s="18"/>
      <c r="AL234" s="19"/>
      <c r="AW234" s="21"/>
    </row>
    <row r="235" spans="1:49" ht="13.2">
      <c r="A235" s="7"/>
      <c r="B235" s="7"/>
      <c r="G235" s="20"/>
      <c r="H235" s="6"/>
      <c r="I235" s="6"/>
      <c r="Q235" s="18"/>
      <c r="S235" s="18"/>
      <c r="AL235" s="19"/>
      <c r="AW235" s="21"/>
    </row>
    <row r="236" spans="1:49" ht="13.2">
      <c r="A236" s="7"/>
      <c r="B236" s="7"/>
      <c r="G236" s="20"/>
      <c r="H236" s="6"/>
      <c r="I236" s="6"/>
      <c r="Q236" s="18"/>
      <c r="S236" s="18"/>
      <c r="AL236" s="19"/>
      <c r="AW236" s="21"/>
    </row>
    <row r="237" spans="1:49" ht="13.2">
      <c r="A237" s="7"/>
      <c r="B237" s="7"/>
      <c r="G237" s="20"/>
      <c r="H237" s="6"/>
      <c r="I237" s="6"/>
      <c r="Q237" s="18"/>
      <c r="S237" s="18"/>
      <c r="AL237" s="19"/>
      <c r="AW237" s="21"/>
    </row>
    <row r="238" spans="1:49" ht="13.2">
      <c r="A238" s="7"/>
      <c r="B238" s="7"/>
      <c r="G238" s="20"/>
      <c r="H238" s="6"/>
      <c r="I238" s="6"/>
      <c r="Q238" s="18"/>
      <c r="S238" s="18"/>
      <c r="AL238" s="19"/>
      <c r="AW238" s="21"/>
    </row>
    <row r="239" spans="1:49" ht="13.2">
      <c r="A239" s="7"/>
      <c r="B239" s="7"/>
      <c r="G239" s="20"/>
      <c r="H239" s="6"/>
      <c r="I239" s="6"/>
      <c r="Q239" s="18"/>
      <c r="S239" s="18"/>
      <c r="AL239" s="19"/>
      <c r="AW239" s="21"/>
    </row>
    <row r="240" spans="1:49" ht="13.2">
      <c r="A240" s="7"/>
      <c r="B240" s="7"/>
      <c r="G240" s="20"/>
      <c r="H240" s="6"/>
      <c r="I240" s="6"/>
      <c r="Q240" s="18"/>
      <c r="S240" s="18"/>
      <c r="AL240" s="19"/>
      <c r="AW240" s="21"/>
    </row>
    <row r="241" spans="1:49" ht="13.2">
      <c r="A241" s="7"/>
      <c r="B241" s="7"/>
      <c r="G241" s="20"/>
      <c r="H241" s="6"/>
      <c r="I241" s="6"/>
      <c r="Q241" s="18"/>
      <c r="S241" s="18"/>
      <c r="AL241" s="19"/>
      <c r="AW241" s="21"/>
    </row>
    <row r="242" spans="1:49" ht="13.2">
      <c r="A242" s="7"/>
      <c r="B242" s="7"/>
      <c r="G242" s="20"/>
      <c r="H242" s="6"/>
      <c r="I242" s="6"/>
      <c r="Q242" s="18"/>
      <c r="S242" s="18"/>
      <c r="AL242" s="19"/>
      <c r="AW242" s="21"/>
    </row>
    <row r="243" spans="1:49" ht="13.2">
      <c r="A243" s="7"/>
      <c r="B243" s="7"/>
      <c r="G243" s="20"/>
      <c r="H243" s="6"/>
      <c r="I243" s="6"/>
      <c r="Q243" s="18"/>
      <c r="S243" s="18"/>
      <c r="AL243" s="19"/>
      <c r="AW243" s="21"/>
    </row>
    <row r="244" spans="1:49" ht="13.2">
      <c r="A244" s="7"/>
      <c r="B244" s="7"/>
      <c r="G244" s="20"/>
      <c r="H244" s="6"/>
      <c r="I244" s="6"/>
      <c r="Q244" s="18"/>
      <c r="S244" s="18"/>
      <c r="AL244" s="19"/>
      <c r="AW244" s="21"/>
    </row>
    <row r="245" spans="1:49" ht="13.2">
      <c r="A245" s="7"/>
      <c r="B245" s="7"/>
      <c r="G245" s="20"/>
      <c r="H245" s="6"/>
      <c r="I245" s="6"/>
      <c r="Q245" s="18"/>
      <c r="S245" s="18"/>
      <c r="AL245" s="19"/>
      <c r="AW245" s="21"/>
    </row>
    <row r="246" spans="1:49" ht="13.2">
      <c r="A246" s="7"/>
      <c r="B246" s="7"/>
      <c r="G246" s="20"/>
      <c r="H246" s="6"/>
      <c r="I246" s="6"/>
      <c r="Q246" s="18"/>
      <c r="S246" s="18"/>
      <c r="AL246" s="19"/>
      <c r="AW246" s="21"/>
    </row>
    <row r="247" spans="1:49" ht="13.2">
      <c r="A247" s="7"/>
      <c r="B247" s="7"/>
      <c r="G247" s="20"/>
      <c r="H247" s="6"/>
      <c r="I247" s="6"/>
      <c r="Q247" s="18"/>
      <c r="S247" s="18"/>
      <c r="AL247" s="19"/>
      <c r="AW247" s="21"/>
    </row>
    <row r="248" spans="1:49" ht="13.2">
      <c r="A248" s="7"/>
      <c r="B248" s="7"/>
      <c r="G248" s="20"/>
      <c r="H248" s="6"/>
      <c r="I248" s="6"/>
      <c r="Q248" s="18"/>
      <c r="S248" s="18"/>
      <c r="AL248" s="19"/>
      <c r="AW248" s="21"/>
    </row>
    <row r="249" spans="1:49" ht="13.2">
      <c r="A249" s="7"/>
      <c r="B249" s="7"/>
      <c r="G249" s="20"/>
      <c r="H249" s="6"/>
      <c r="I249" s="6"/>
      <c r="Q249" s="18"/>
      <c r="S249" s="18"/>
      <c r="AL249" s="19"/>
      <c r="AW249" s="21"/>
    </row>
    <row r="250" spans="1:49" ht="13.2">
      <c r="A250" s="7"/>
      <c r="B250" s="7"/>
      <c r="G250" s="20"/>
      <c r="H250" s="6"/>
      <c r="I250" s="6"/>
      <c r="Q250" s="18"/>
      <c r="S250" s="18"/>
      <c r="AL250" s="19"/>
      <c r="AW250" s="21"/>
    </row>
    <row r="251" spans="1:49" ht="13.2">
      <c r="A251" s="7"/>
      <c r="B251" s="7"/>
      <c r="G251" s="20"/>
      <c r="H251" s="6"/>
      <c r="I251" s="6"/>
      <c r="Q251" s="18"/>
      <c r="S251" s="18"/>
      <c r="AL251" s="19"/>
      <c r="AW251" s="21"/>
    </row>
    <row r="252" spans="1:49" ht="13.2">
      <c r="A252" s="7"/>
      <c r="B252" s="7"/>
      <c r="G252" s="20"/>
      <c r="H252" s="6"/>
      <c r="I252" s="6"/>
      <c r="Q252" s="18"/>
      <c r="S252" s="18"/>
      <c r="AL252" s="19"/>
      <c r="AW252" s="21"/>
    </row>
    <row r="253" spans="1:49" ht="13.2">
      <c r="A253" s="7"/>
      <c r="B253" s="7"/>
      <c r="G253" s="20"/>
      <c r="H253" s="6"/>
      <c r="I253" s="6"/>
      <c r="Q253" s="18"/>
      <c r="S253" s="18"/>
      <c r="AL253" s="19"/>
      <c r="AW253" s="21"/>
    </row>
    <row r="254" spans="1:49" ht="13.2">
      <c r="A254" s="7"/>
      <c r="B254" s="7"/>
      <c r="G254" s="20"/>
      <c r="H254" s="6"/>
      <c r="I254" s="6"/>
      <c r="Q254" s="18"/>
      <c r="S254" s="18"/>
      <c r="AL254" s="19"/>
      <c r="AW254" s="21"/>
    </row>
    <row r="255" spans="1:49" ht="13.2">
      <c r="A255" s="7"/>
      <c r="B255" s="7"/>
      <c r="G255" s="20"/>
      <c r="H255" s="6"/>
      <c r="I255" s="6"/>
      <c r="Q255" s="18"/>
      <c r="S255" s="18"/>
      <c r="AL255" s="19"/>
      <c r="AW255" s="21"/>
    </row>
    <row r="256" spans="1:49" ht="13.2">
      <c r="A256" s="7"/>
      <c r="B256" s="7"/>
      <c r="G256" s="20"/>
      <c r="H256" s="6"/>
      <c r="I256" s="6"/>
      <c r="Q256" s="18"/>
      <c r="S256" s="18"/>
      <c r="AL256" s="19"/>
      <c r="AW256" s="21"/>
    </row>
    <row r="257" spans="1:49" ht="13.2">
      <c r="A257" s="7"/>
      <c r="B257" s="7"/>
      <c r="G257" s="20"/>
      <c r="H257" s="6"/>
      <c r="I257" s="6"/>
      <c r="Q257" s="18"/>
      <c r="S257" s="18"/>
      <c r="AL257" s="19"/>
      <c r="AW257" s="21"/>
    </row>
    <row r="258" spans="1:49" ht="13.2">
      <c r="A258" s="7"/>
      <c r="B258" s="7"/>
      <c r="G258" s="20"/>
      <c r="H258" s="6"/>
      <c r="I258" s="6"/>
      <c r="Q258" s="18"/>
      <c r="S258" s="18"/>
      <c r="AL258" s="19"/>
      <c r="AW258" s="21"/>
    </row>
    <row r="259" spans="1:49" ht="13.2">
      <c r="A259" s="7"/>
      <c r="B259" s="7"/>
      <c r="G259" s="20"/>
      <c r="H259" s="6"/>
      <c r="I259" s="6"/>
      <c r="Q259" s="18"/>
      <c r="S259" s="18"/>
      <c r="AL259" s="19"/>
      <c r="AW259" s="21"/>
    </row>
    <row r="260" spans="1:49" ht="13.2">
      <c r="A260" s="7"/>
      <c r="B260" s="7"/>
      <c r="G260" s="20"/>
      <c r="H260" s="6"/>
      <c r="I260" s="6"/>
      <c r="Q260" s="18"/>
      <c r="S260" s="18"/>
      <c r="AL260" s="19"/>
      <c r="AW260" s="21"/>
    </row>
    <row r="261" spans="1:49" ht="13.2">
      <c r="A261" s="7"/>
      <c r="B261" s="7"/>
      <c r="G261" s="20"/>
      <c r="H261" s="6"/>
      <c r="I261" s="6"/>
      <c r="Q261" s="18"/>
      <c r="S261" s="18"/>
      <c r="AL261" s="19"/>
      <c r="AW261" s="21"/>
    </row>
    <row r="262" spans="1:49" ht="13.2">
      <c r="A262" s="7"/>
      <c r="B262" s="7"/>
      <c r="G262" s="20"/>
      <c r="H262" s="6"/>
      <c r="I262" s="6"/>
      <c r="Q262" s="18"/>
      <c r="S262" s="18"/>
      <c r="AL262" s="19"/>
      <c r="AW262" s="21"/>
    </row>
    <row r="263" spans="1:49" ht="13.2">
      <c r="A263" s="7"/>
      <c r="B263" s="7"/>
      <c r="G263" s="20"/>
      <c r="H263" s="6"/>
      <c r="I263" s="6"/>
      <c r="Q263" s="18"/>
      <c r="S263" s="18"/>
      <c r="AL263" s="19"/>
      <c r="AW263" s="21"/>
    </row>
    <row r="264" spans="1:49" ht="13.2">
      <c r="A264" s="7"/>
      <c r="B264" s="7"/>
      <c r="G264" s="20"/>
      <c r="H264" s="6"/>
      <c r="I264" s="6"/>
      <c r="Q264" s="18"/>
      <c r="S264" s="18"/>
      <c r="AL264" s="19"/>
      <c r="AW264" s="21"/>
    </row>
    <row r="265" spans="1:49" ht="13.2">
      <c r="A265" s="7"/>
      <c r="B265" s="7"/>
      <c r="G265" s="20"/>
      <c r="H265" s="6"/>
      <c r="I265" s="6"/>
      <c r="Q265" s="18"/>
      <c r="S265" s="18"/>
      <c r="AL265" s="19"/>
      <c r="AW265" s="21"/>
    </row>
    <row r="266" spans="1:49" ht="13.2">
      <c r="A266" s="7"/>
      <c r="B266" s="7"/>
      <c r="G266" s="20"/>
      <c r="H266" s="6"/>
      <c r="I266" s="6"/>
      <c r="Q266" s="18"/>
      <c r="S266" s="18"/>
      <c r="AL266" s="19"/>
      <c r="AW266" s="21"/>
    </row>
    <row r="267" spans="1:49" ht="13.2">
      <c r="A267" s="7"/>
      <c r="B267" s="7"/>
      <c r="G267" s="20"/>
      <c r="H267" s="6"/>
      <c r="I267" s="6"/>
      <c r="Q267" s="18"/>
      <c r="S267" s="18"/>
      <c r="AL267" s="19"/>
      <c r="AW267" s="21"/>
    </row>
    <row r="268" spans="1:49" ht="13.2">
      <c r="A268" s="7"/>
      <c r="B268" s="7"/>
      <c r="G268" s="20"/>
      <c r="H268" s="6"/>
      <c r="I268" s="6"/>
      <c r="Q268" s="18"/>
      <c r="S268" s="18"/>
      <c r="AL268" s="19"/>
      <c r="AW268" s="21"/>
    </row>
    <row r="269" spans="1:49" ht="13.2">
      <c r="A269" s="7"/>
      <c r="B269" s="7"/>
      <c r="G269" s="20"/>
      <c r="H269" s="6"/>
      <c r="I269" s="6"/>
      <c r="Q269" s="18"/>
      <c r="S269" s="18"/>
      <c r="AL269" s="19"/>
      <c r="AW269" s="21"/>
    </row>
    <row r="270" spans="1:49" ht="13.2">
      <c r="A270" s="7"/>
      <c r="B270" s="7"/>
      <c r="G270" s="20"/>
      <c r="H270" s="6"/>
      <c r="I270" s="6"/>
      <c r="Q270" s="18"/>
      <c r="S270" s="18"/>
      <c r="AL270" s="19"/>
      <c r="AW270" s="21"/>
    </row>
    <row r="271" spans="1:49" ht="13.2">
      <c r="A271" s="7"/>
      <c r="B271" s="7"/>
      <c r="G271" s="20"/>
      <c r="H271" s="6"/>
      <c r="I271" s="6"/>
      <c r="Q271" s="18"/>
      <c r="S271" s="18"/>
      <c r="AL271" s="19"/>
      <c r="AW271" s="21"/>
    </row>
    <row r="272" spans="1:49" ht="13.2">
      <c r="A272" s="7"/>
      <c r="B272" s="7"/>
      <c r="G272" s="20"/>
      <c r="H272" s="6"/>
      <c r="I272" s="6"/>
      <c r="Q272" s="18"/>
      <c r="S272" s="18"/>
      <c r="AL272" s="19"/>
      <c r="AW272" s="21"/>
    </row>
    <row r="273" spans="1:49" ht="13.2">
      <c r="A273" s="7"/>
      <c r="B273" s="7"/>
      <c r="G273" s="20"/>
      <c r="H273" s="6"/>
      <c r="I273" s="6"/>
      <c r="Q273" s="18"/>
      <c r="S273" s="18"/>
      <c r="AL273" s="19"/>
      <c r="AW273" s="21"/>
    </row>
    <row r="274" spans="1:49" ht="13.2">
      <c r="A274" s="7"/>
      <c r="B274" s="7"/>
      <c r="G274" s="20"/>
      <c r="H274" s="6"/>
      <c r="I274" s="6"/>
      <c r="Q274" s="18"/>
      <c r="S274" s="18"/>
      <c r="AL274" s="19"/>
      <c r="AW274" s="21"/>
    </row>
    <row r="275" spans="1:49" ht="13.2">
      <c r="A275" s="7"/>
      <c r="B275" s="7"/>
      <c r="G275" s="20"/>
      <c r="H275" s="6"/>
      <c r="I275" s="6"/>
      <c r="Q275" s="18"/>
      <c r="S275" s="18"/>
      <c r="AL275" s="19"/>
      <c r="AW275" s="21"/>
    </row>
    <row r="276" spans="1:49" ht="13.2">
      <c r="A276" s="7"/>
      <c r="B276" s="7"/>
      <c r="G276" s="20"/>
      <c r="H276" s="6"/>
      <c r="I276" s="6"/>
      <c r="Q276" s="18"/>
      <c r="S276" s="18"/>
      <c r="AL276" s="19"/>
      <c r="AW276" s="21"/>
    </row>
    <row r="277" spans="1:49" ht="13.2">
      <c r="A277" s="7"/>
      <c r="B277" s="7"/>
      <c r="G277" s="20"/>
      <c r="H277" s="6"/>
      <c r="I277" s="6"/>
      <c r="Q277" s="18"/>
      <c r="S277" s="18"/>
      <c r="AL277" s="19"/>
      <c r="AW277" s="21"/>
    </row>
    <row r="278" spans="1:49" ht="13.2">
      <c r="A278" s="7"/>
      <c r="B278" s="7"/>
      <c r="G278" s="20"/>
      <c r="H278" s="6"/>
      <c r="I278" s="6"/>
      <c r="Q278" s="18"/>
      <c r="S278" s="18"/>
      <c r="AL278" s="19"/>
      <c r="AW278" s="21"/>
    </row>
    <row r="279" spans="1:49" ht="13.2">
      <c r="A279" s="7"/>
      <c r="B279" s="7"/>
      <c r="G279" s="20"/>
      <c r="H279" s="6"/>
      <c r="I279" s="6"/>
      <c r="Q279" s="18"/>
      <c r="S279" s="18"/>
      <c r="AL279" s="19"/>
      <c r="AW279" s="21"/>
    </row>
    <row r="280" spans="1:49" ht="13.2">
      <c r="A280" s="7"/>
      <c r="B280" s="7"/>
      <c r="G280" s="20"/>
      <c r="H280" s="6"/>
      <c r="I280" s="6"/>
      <c r="Q280" s="18"/>
      <c r="S280" s="18"/>
      <c r="AL280" s="19"/>
      <c r="AW280" s="21"/>
    </row>
    <row r="281" spans="1:49" ht="13.2">
      <c r="A281" s="7"/>
      <c r="B281" s="7"/>
      <c r="G281" s="20"/>
      <c r="H281" s="6"/>
      <c r="I281" s="6"/>
      <c r="Q281" s="18"/>
      <c r="S281" s="18"/>
      <c r="AL281" s="19"/>
      <c r="AW281" s="21"/>
    </row>
    <row r="282" spans="1:49" ht="13.2">
      <c r="A282" s="7"/>
      <c r="B282" s="7"/>
      <c r="G282" s="20"/>
      <c r="H282" s="6"/>
      <c r="I282" s="6"/>
      <c r="Q282" s="18"/>
      <c r="S282" s="18"/>
      <c r="AL282" s="19"/>
      <c r="AW282" s="21"/>
    </row>
    <row r="283" spans="1:49" ht="13.2">
      <c r="A283" s="7"/>
      <c r="B283" s="7"/>
      <c r="G283" s="20"/>
      <c r="H283" s="6"/>
      <c r="I283" s="6"/>
      <c r="Q283" s="18"/>
      <c r="S283" s="18"/>
      <c r="AL283" s="19"/>
      <c r="AW283" s="21"/>
    </row>
    <row r="284" spans="1:49" ht="13.2">
      <c r="A284" s="7"/>
      <c r="B284" s="7"/>
      <c r="G284" s="20"/>
      <c r="H284" s="6"/>
      <c r="I284" s="6"/>
      <c r="Q284" s="18"/>
      <c r="S284" s="18"/>
      <c r="AL284" s="19"/>
      <c r="AW284" s="21"/>
    </row>
    <row r="285" spans="1:49" ht="13.2">
      <c r="A285" s="7"/>
      <c r="B285" s="7"/>
      <c r="G285" s="20"/>
      <c r="H285" s="6"/>
      <c r="I285" s="6"/>
      <c r="Q285" s="18"/>
      <c r="S285" s="18"/>
      <c r="AL285" s="19"/>
      <c r="AW285" s="21"/>
    </row>
    <row r="286" spans="1:49" ht="13.2">
      <c r="A286" s="7"/>
      <c r="B286" s="7"/>
      <c r="G286" s="20"/>
      <c r="H286" s="6"/>
      <c r="I286" s="6"/>
      <c r="Q286" s="18"/>
      <c r="S286" s="18"/>
      <c r="AL286" s="19"/>
      <c r="AW286" s="21"/>
    </row>
    <row r="287" spans="1:49" ht="13.2">
      <c r="A287" s="7"/>
      <c r="B287" s="7"/>
      <c r="G287" s="20"/>
      <c r="H287" s="6"/>
      <c r="I287" s="6"/>
      <c r="Q287" s="18"/>
      <c r="S287" s="18"/>
      <c r="AL287" s="19"/>
      <c r="AW287" s="21"/>
    </row>
    <row r="288" spans="1:49" ht="13.2">
      <c r="A288" s="7"/>
      <c r="B288" s="7"/>
      <c r="G288" s="20"/>
      <c r="H288" s="6"/>
      <c r="I288" s="6"/>
      <c r="Q288" s="18"/>
      <c r="S288" s="18"/>
      <c r="AL288" s="19"/>
      <c r="AW288" s="21"/>
    </row>
    <row r="289" spans="1:49" ht="13.2">
      <c r="A289" s="7"/>
      <c r="B289" s="7"/>
      <c r="G289" s="20"/>
      <c r="H289" s="6"/>
      <c r="I289" s="6"/>
      <c r="Q289" s="18"/>
      <c r="S289" s="18"/>
      <c r="AL289" s="19"/>
      <c r="AW289" s="21"/>
    </row>
    <row r="290" spans="1:49" ht="13.2">
      <c r="A290" s="7"/>
      <c r="B290" s="7"/>
      <c r="G290" s="20"/>
      <c r="H290" s="6"/>
      <c r="I290" s="6"/>
      <c r="Q290" s="18"/>
      <c r="S290" s="18"/>
      <c r="AL290" s="19"/>
      <c r="AW290" s="21"/>
    </row>
    <row r="291" spans="1:49" ht="13.2">
      <c r="A291" s="7"/>
      <c r="B291" s="7"/>
      <c r="G291" s="20"/>
      <c r="H291" s="6"/>
      <c r="I291" s="6"/>
      <c r="Q291" s="18"/>
      <c r="S291" s="18"/>
      <c r="AL291" s="19"/>
      <c r="AW291" s="21"/>
    </row>
    <row r="292" spans="1:49" ht="13.2">
      <c r="A292" s="7"/>
      <c r="B292" s="7"/>
      <c r="G292" s="20"/>
      <c r="H292" s="6"/>
      <c r="I292" s="6"/>
      <c r="Q292" s="18"/>
      <c r="S292" s="18"/>
      <c r="AL292" s="19"/>
      <c r="AW292" s="21"/>
    </row>
    <row r="293" spans="1:49" ht="13.2">
      <c r="A293" s="7"/>
      <c r="B293" s="7"/>
      <c r="G293" s="20"/>
      <c r="H293" s="6"/>
      <c r="I293" s="6"/>
      <c r="Q293" s="18"/>
      <c r="S293" s="18"/>
      <c r="AL293" s="19"/>
      <c r="AW293" s="21"/>
    </row>
    <row r="294" spans="1:49" ht="13.2">
      <c r="A294" s="7"/>
      <c r="B294" s="7"/>
      <c r="G294" s="20"/>
      <c r="H294" s="6"/>
      <c r="I294" s="6"/>
      <c r="Q294" s="18"/>
      <c r="S294" s="18"/>
      <c r="AL294" s="19"/>
      <c r="AW294" s="21"/>
    </row>
    <row r="295" spans="1:49" ht="13.2">
      <c r="A295" s="7"/>
      <c r="B295" s="7"/>
      <c r="G295" s="20"/>
      <c r="H295" s="6"/>
      <c r="I295" s="6"/>
      <c r="Q295" s="18"/>
      <c r="S295" s="18"/>
      <c r="AL295" s="19"/>
      <c r="AW295" s="21"/>
    </row>
    <row r="296" spans="1:49" ht="13.2">
      <c r="A296" s="7"/>
      <c r="B296" s="7"/>
      <c r="G296" s="20"/>
      <c r="H296" s="6"/>
      <c r="I296" s="6"/>
      <c r="Q296" s="18"/>
      <c r="S296" s="18"/>
      <c r="AL296" s="19"/>
      <c r="AW296" s="21"/>
    </row>
    <row r="297" spans="1:49" ht="13.2">
      <c r="A297" s="7"/>
      <c r="B297" s="7"/>
      <c r="G297" s="20"/>
      <c r="H297" s="6"/>
      <c r="I297" s="6"/>
      <c r="Q297" s="18"/>
      <c r="S297" s="18"/>
      <c r="AL297" s="19"/>
      <c r="AW297" s="21"/>
    </row>
    <row r="298" spans="1:49" ht="13.2">
      <c r="A298" s="7"/>
      <c r="B298" s="7"/>
      <c r="G298" s="20"/>
      <c r="H298" s="6"/>
      <c r="I298" s="6"/>
      <c r="Q298" s="18"/>
      <c r="S298" s="18"/>
      <c r="AL298" s="19"/>
      <c r="AW298" s="21"/>
    </row>
    <row r="299" spans="1:49" ht="13.2">
      <c r="A299" s="7"/>
      <c r="B299" s="7"/>
      <c r="G299" s="20"/>
      <c r="H299" s="6"/>
      <c r="I299" s="6"/>
      <c r="Q299" s="18"/>
      <c r="S299" s="18"/>
      <c r="AL299" s="19"/>
      <c r="AW299" s="21"/>
    </row>
    <row r="300" spans="1:49" ht="13.2">
      <c r="A300" s="7"/>
      <c r="B300" s="7"/>
      <c r="G300" s="20"/>
      <c r="H300" s="6"/>
      <c r="I300" s="6"/>
      <c r="Q300" s="18"/>
      <c r="S300" s="18"/>
      <c r="AL300" s="19"/>
      <c r="AW300" s="21"/>
    </row>
    <row r="301" spans="1:49" ht="13.2">
      <c r="A301" s="7"/>
      <c r="B301" s="7"/>
      <c r="G301" s="20"/>
      <c r="H301" s="6"/>
      <c r="I301" s="6"/>
      <c r="Q301" s="18"/>
      <c r="S301" s="18"/>
      <c r="AL301" s="19"/>
      <c r="AW301" s="21"/>
    </row>
    <row r="302" spans="1:49" ht="13.2">
      <c r="A302" s="7"/>
      <c r="B302" s="7"/>
      <c r="G302" s="20"/>
      <c r="H302" s="6"/>
      <c r="I302" s="6"/>
      <c r="Q302" s="18"/>
      <c r="S302" s="18"/>
      <c r="AL302" s="19"/>
      <c r="AW302" s="21"/>
    </row>
    <row r="303" spans="1:49" ht="13.2">
      <c r="A303" s="7"/>
      <c r="B303" s="7"/>
      <c r="G303" s="20"/>
      <c r="H303" s="6"/>
      <c r="I303" s="6"/>
      <c r="Q303" s="18"/>
      <c r="S303" s="18"/>
      <c r="AL303" s="19"/>
      <c r="AW303" s="21"/>
    </row>
    <row r="304" spans="1:49" ht="13.2">
      <c r="A304" s="7"/>
      <c r="B304" s="7"/>
      <c r="G304" s="20"/>
      <c r="H304" s="6"/>
      <c r="I304" s="6"/>
      <c r="Q304" s="18"/>
      <c r="S304" s="18"/>
      <c r="AL304" s="19"/>
      <c r="AW304" s="21"/>
    </row>
    <row r="305" spans="1:49" ht="13.2">
      <c r="A305" s="7"/>
      <c r="B305" s="7"/>
      <c r="G305" s="20"/>
      <c r="H305" s="6"/>
      <c r="I305" s="6"/>
      <c r="Q305" s="18"/>
      <c r="S305" s="18"/>
      <c r="AL305" s="19"/>
      <c r="AW305" s="21"/>
    </row>
    <row r="306" spans="1:49" ht="13.2">
      <c r="A306" s="7"/>
      <c r="B306" s="7"/>
      <c r="G306" s="20"/>
      <c r="H306" s="6"/>
      <c r="I306" s="6"/>
      <c r="Q306" s="18"/>
      <c r="S306" s="18"/>
      <c r="AL306" s="19"/>
      <c r="AW306" s="21"/>
    </row>
    <row r="307" spans="1:49" ht="13.2">
      <c r="A307" s="7"/>
      <c r="B307" s="7"/>
      <c r="G307" s="20"/>
      <c r="H307" s="6"/>
      <c r="I307" s="6"/>
      <c r="Q307" s="18"/>
      <c r="S307" s="18"/>
      <c r="AL307" s="19"/>
      <c r="AW307" s="21"/>
    </row>
    <row r="308" spans="1:49" ht="13.2">
      <c r="A308" s="7"/>
      <c r="B308" s="7"/>
      <c r="G308" s="20"/>
      <c r="H308" s="6"/>
      <c r="I308" s="6"/>
      <c r="Q308" s="18"/>
      <c r="S308" s="18"/>
      <c r="AL308" s="19"/>
      <c r="AW308" s="21"/>
    </row>
    <row r="309" spans="1:49" ht="13.2">
      <c r="A309" s="7"/>
      <c r="B309" s="7"/>
      <c r="G309" s="20"/>
      <c r="H309" s="6"/>
      <c r="I309" s="6"/>
      <c r="Q309" s="18"/>
      <c r="S309" s="18"/>
      <c r="AL309" s="19"/>
      <c r="AW309" s="21"/>
    </row>
    <row r="310" spans="1:49" ht="13.2">
      <c r="A310" s="7"/>
      <c r="B310" s="7"/>
      <c r="G310" s="20"/>
      <c r="H310" s="6"/>
      <c r="I310" s="6"/>
      <c r="Q310" s="18"/>
      <c r="S310" s="18"/>
      <c r="AL310" s="19"/>
      <c r="AW310" s="21"/>
    </row>
    <row r="311" spans="1:49" ht="13.2">
      <c r="A311" s="7"/>
      <c r="B311" s="7"/>
      <c r="G311" s="20"/>
      <c r="H311" s="6"/>
      <c r="I311" s="6"/>
      <c r="Q311" s="18"/>
      <c r="S311" s="18"/>
      <c r="AL311" s="19"/>
      <c r="AW311" s="21"/>
    </row>
    <row r="312" spans="1:49" ht="13.2">
      <c r="A312" s="7"/>
      <c r="B312" s="7"/>
      <c r="G312" s="20"/>
      <c r="H312" s="6"/>
      <c r="I312" s="6"/>
      <c r="Q312" s="18"/>
      <c r="S312" s="18"/>
      <c r="AL312" s="19"/>
      <c r="AW312" s="21"/>
    </row>
    <row r="313" spans="1:49" ht="13.2">
      <c r="A313" s="7"/>
      <c r="B313" s="7"/>
      <c r="G313" s="20"/>
      <c r="H313" s="6"/>
      <c r="I313" s="6"/>
      <c r="Q313" s="18"/>
      <c r="S313" s="18"/>
      <c r="AL313" s="19"/>
      <c r="AW313" s="21"/>
    </row>
    <row r="314" spans="1:49" ht="13.2">
      <c r="A314" s="7"/>
      <c r="B314" s="7"/>
      <c r="G314" s="20"/>
      <c r="H314" s="6"/>
      <c r="I314" s="6"/>
      <c r="Q314" s="18"/>
      <c r="S314" s="18"/>
      <c r="AL314" s="19"/>
      <c r="AW314" s="21"/>
    </row>
    <row r="315" spans="1:49" ht="13.2">
      <c r="A315" s="7"/>
      <c r="B315" s="7"/>
      <c r="G315" s="20"/>
      <c r="H315" s="6"/>
      <c r="I315" s="6"/>
      <c r="Q315" s="18"/>
      <c r="S315" s="18"/>
      <c r="AL315" s="19"/>
      <c r="AW315" s="21"/>
    </row>
    <row r="316" spans="1:49" ht="13.2">
      <c r="A316" s="7"/>
      <c r="B316" s="7"/>
      <c r="G316" s="20"/>
      <c r="H316" s="6"/>
      <c r="I316" s="6"/>
      <c r="Q316" s="18"/>
      <c r="S316" s="18"/>
      <c r="AL316" s="19"/>
      <c r="AW316" s="21"/>
    </row>
    <row r="317" spans="1:49" ht="13.2">
      <c r="A317" s="7"/>
      <c r="B317" s="7"/>
      <c r="G317" s="20"/>
      <c r="H317" s="6"/>
      <c r="I317" s="6"/>
      <c r="Q317" s="18"/>
      <c r="S317" s="18"/>
      <c r="AL317" s="19"/>
      <c r="AW317" s="21"/>
    </row>
    <row r="318" spans="1:49" ht="13.2">
      <c r="A318" s="7"/>
      <c r="B318" s="7"/>
      <c r="G318" s="20"/>
      <c r="H318" s="6"/>
      <c r="I318" s="6"/>
      <c r="Q318" s="18"/>
      <c r="S318" s="18"/>
      <c r="AL318" s="19"/>
      <c r="AW318" s="21"/>
    </row>
    <row r="319" spans="1:49" ht="13.2">
      <c r="A319" s="7"/>
      <c r="B319" s="7"/>
      <c r="G319" s="20"/>
      <c r="H319" s="6"/>
      <c r="I319" s="6"/>
      <c r="Q319" s="18"/>
      <c r="S319" s="18"/>
      <c r="AL319" s="19"/>
      <c r="AW319" s="21"/>
    </row>
    <row r="320" spans="1:49" ht="13.2">
      <c r="A320" s="7"/>
      <c r="B320" s="7"/>
      <c r="G320" s="20"/>
      <c r="H320" s="6"/>
      <c r="I320" s="6"/>
      <c r="Q320" s="18"/>
      <c r="S320" s="18"/>
      <c r="AL320" s="19"/>
      <c r="AW320" s="21"/>
    </row>
    <row r="321" spans="1:49" ht="13.2">
      <c r="A321" s="7"/>
      <c r="B321" s="7"/>
      <c r="G321" s="20"/>
      <c r="H321" s="6"/>
      <c r="I321" s="6"/>
      <c r="Q321" s="18"/>
      <c r="S321" s="18"/>
      <c r="AL321" s="19"/>
      <c r="AW321" s="21"/>
    </row>
    <row r="322" spans="1:49" ht="13.2">
      <c r="A322" s="7"/>
      <c r="B322" s="7"/>
      <c r="G322" s="20"/>
      <c r="H322" s="6"/>
      <c r="I322" s="6"/>
      <c r="Q322" s="18"/>
      <c r="S322" s="18"/>
      <c r="AL322" s="19"/>
      <c r="AW322" s="21"/>
    </row>
    <row r="323" spans="1:49" ht="13.2">
      <c r="A323" s="7"/>
      <c r="B323" s="7"/>
      <c r="G323" s="20"/>
      <c r="H323" s="6"/>
      <c r="I323" s="6"/>
      <c r="Q323" s="18"/>
      <c r="S323" s="18"/>
      <c r="AL323" s="19"/>
      <c r="AW323" s="21"/>
    </row>
    <row r="324" spans="1:49" ht="13.2">
      <c r="A324" s="7"/>
      <c r="B324" s="7"/>
      <c r="G324" s="20"/>
      <c r="H324" s="6"/>
      <c r="I324" s="6"/>
      <c r="Q324" s="18"/>
      <c r="S324" s="18"/>
      <c r="AL324" s="19"/>
      <c r="AW324" s="21"/>
    </row>
    <row r="325" spans="1:49" ht="13.2">
      <c r="A325" s="7"/>
      <c r="B325" s="7"/>
      <c r="G325" s="20"/>
      <c r="H325" s="6"/>
      <c r="I325" s="6"/>
      <c r="Q325" s="18"/>
      <c r="S325" s="18"/>
      <c r="AL325" s="19"/>
      <c r="AW325" s="21"/>
    </row>
    <row r="326" spans="1:49" ht="13.2">
      <c r="A326" s="7"/>
      <c r="B326" s="7"/>
      <c r="G326" s="20"/>
      <c r="H326" s="6"/>
      <c r="I326" s="6"/>
      <c r="Q326" s="18"/>
      <c r="S326" s="18"/>
      <c r="AL326" s="19"/>
      <c r="AW326" s="21"/>
    </row>
    <row r="327" spans="1:49" ht="13.2">
      <c r="A327" s="7"/>
      <c r="B327" s="7"/>
      <c r="G327" s="20"/>
      <c r="H327" s="6"/>
      <c r="I327" s="6"/>
      <c r="Q327" s="18"/>
      <c r="S327" s="18"/>
      <c r="AL327" s="19"/>
      <c r="AW327" s="21"/>
    </row>
    <row r="328" spans="1:49" ht="13.2">
      <c r="A328" s="7"/>
      <c r="B328" s="7"/>
      <c r="G328" s="20"/>
      <c r="H328" s="6"/>
      <c r="I328" s="6"/>
      <c r="Q328" s="18"/>
      <c r="S328" s="18"/>
      <c r="AL328" s="19"/>
      <c r="AW328" s="21"/>
    </row>
    <row r="329" spans="1:49" ht="13.2">
      <c r="A329" s="7"/>
      <c r="B329" s="7"/>
      <c r="G329" s="20"/>
      <c r="H329" s="6"/>
      <c r="I329" s="6"/>
      <c r="Q329" s="18"/>
      <c r="S329" s="18"/>
      <c r="AL329" s="19"/>
      <c r="AW329" s="21"/>
    </row>
    <row r="330" spans="1:49" ht="13.2">
      <c r="A330" s="7"/>
      <c r="B330" s="7"/>
      <c r="G330" s="20"/>
      <c r="H330" s="6"/>
      <c r="I330" s="6"/>
      <c r="Q330" s="18"/>
      <c r="S330" s="18"/>
      <c r="AL330" s="19"/>
      <c r="AW330" s="21"/>
    </row>
    <row r="331" spans="1:49" ht="13.2">
      <c r="A331" s="7"/>
      <c r="B331" s="7"/>
      <c r="G331" s="20"/>
      <c r="H331" s="6"/>
      <c r="I331" s="6"/>
      <c r="Q331" s="18"/>
      <c r="S331" s="18"/>
      <c r="AL331" s="19"/>
      <c r="AW331" s="21"/>
    </row>
    <row r="332" spans="1:49" ht="13.2">
      <c r="A332" s="7"/>
      <c r="B332" s="7"/>
      <c r="G332" s="20"/>
      <c r="H332" s="6"/>
      <c r="I332" s="6"/>
      <c r="Q332" s="18"/>
      <c r="S332" s="18"/>
      <c r="AL332" s="19"/>
      <c r="AW332" s="21"/>
    </row>
    <row r="333" spans="1:49" ht="13.2">
      <c r="A333" s="7"/>
      <c r="B333" s="7"/>
      <c r="G333" s="20"/>
      <c r="H333" s="6"/>
      <c r="I333" s="6"/>
      <c r="Q333" s="18"/>
      <c r="S333" s="18"/>
      <c r="AL333" s="19"/>
      <c r="AW333" s="21"/>
    </row>
    <row r="334" spans="1:49" ht="13.2">
      <c r="A334" s="7"/>
      <c r="B334" s="7"/>
      <c r="G334" s="20"/>
      <c r="H334" s="6"/>
      <c r="I334" s="6"/>
      <c r="Q334" s="18"/>
      <c r="S334" s="18"/>
      <c r="AL334" s="19"/>
      <c r="AW334" s="21"/>
    </row>
    <row r="335" spans="1:49" ht="13.2">
      <c r="A335" s="7"/>
      <c r="B335" s="7"/>
      <c r="G335" s="20"/>
      <c r="H335" s="6"/>
      <c r="I335" s="6"/>
      <c r="Q335" s="18"/>
      <c r="S335" s="18"/>
      <c r="AL335" s="19"/>
      <c r="AW335" s="21"/>
    </row>
    <row r="336" spans="1:49" ht="13.2">
      <c r="A336" s="7"/>
      <c r="B336" s="7"/>
      <c r="G336" s="20"/>
      <c r="H336" s="6"/>
      <c r="I336" s="6"/>
      <c r="Q336" s="18"/>
      <c r="S336" s="18"/>
      <c r="AL336" s="19"/>
      <c r="AW336" s="21"/>
    </row>
    <row r="337" spans="1:49" ht="13.2">
      <c r="A337" s="7"/>
      <c r="B337" s="7"/>
      <c r="G337" s="20"/>
      <c r="H337" s="6"/>
      <c r="I337" s="6"/>
      <c r="Q337" s="18"/>
      <c r="S337" s="18"/>
      <c r="AL337" s="19"/>
      <c r="AW337" s="21"/>
    </row>
    <row r="338" spans="1:49" ht="13.2">
      <c r="A338" s="7"/>
      <c r="B338" s="7"/>
      <c r="G338" s="20"/>
      <c r="H338" s="6"/>
      <c r="I338" s="6"/>
      <c r="Q338" s="18"/>
      <c r="S338" s="18"/>
      <c r="AL338" s="19"/>
      <c r="AW338" s="21"/>
    </row>
    <row r="339" spans="1:49" ht="13.2">
      <c r="A339" s="7"/>
      <c r="B339" s="7"/>
      <c r="G339" s="20"/>
      <c r="H339" s="6"/>
      <c r="I339" s="6"/>
      <c r="Q339" s="18"/>
      <c r="S339" s="18"/>
      <c r="AL339" s="19"/>
      <c r="AW339" s="21"/>
    </row>
    <row r="340" spans="1:49" ht="13.2">
      <c r="A340" s="7"/>
      <c r="B340" s="7"/>
      <c r="G340" s="20"/>
      <c r="H340" s="6"/>
      <c r="I340" s="6"/>
      <c r="Q340" s="18"/>
      <c r="S340" s="18"/>
      <c r="AL340" s="19"/>
      <c r="AW340" s="21"/>
    </row>
    <row r="341" spans="1:49" ht="13.2">
      <c r="A341" s="7"/>
      <c r="B341" s="7"/>
      <c r="G341" s="20"/>
      <c r="H341" s="6"/>
      <c r="I341" s="6"/>
      <c r="Q341" s="18"/>
      <c r="S341" s="18"/>
      <c r="AL341" s="19"/>
      <c r="AW341" s="21"/>
    </row>
    <row r="342" spans="1:49" ht="13.2">
      <c r="A342" s="7"/>
      <c r="B342" s="7"/>
      <c r="G342" s="20"/>
      <c r="H342" s="6"/>
      <c r="I342" s="6"/>
      <c r="Q342" s="18"/>
      <c r="S342" s="18"/>
      <c r="AL342" s="19"/>
      <c r="AW342" s="21"/>
    </row>
    <row r="343" spans="1:49" ht="13.2">
      <c r="A343" s="7"/>
      <c r="B343" s="7"/>
      <c r="G343" s="20"/>
      <c r="H343" s="6"/>
      <c r="I343" s="6"/>
      <c r="Q343" s="18"/>
      <c r="S343" s="18"/>
      <c r="AL343" s="19"/>
      <c r="AW343" s="21"/>
    </row>
    <row r="344" spans="1:49" ht="13.2">
      <c r="A344" s="7"/>
      <c r="B344" s="7"/>
      <c r="G344" s="20"/>
      <c r="H344" s="6"/>
      <c r="I344" s="6"/>
      <c r="Q344" s="18"/>
      <c r="S344" s="18"/>
      <c r="AL344" s="19"/>
      <c r="AW344" s="21"/>
    </row>
    <row r="345" spans="1:49" ht="13.2">
      <c r="A345" s="7"/>
      <c r="B345" s="7"/>
      <c r="G345" s="20"/>
      <c r="H345" s="6"/>
      <c r="I345" s="6"/>
      <c r="Q345" s="18"/>
      <c r="S345" s="18"/>
      <c r="AL345" s="19"/>
      <c r="AW345" s="21"/>
    </row>
    <row r="346" spans="1:49" ht="13.2">
      <c r="A346" s="7"/>
      <c r="B346" s="7"/>
      <c r="G346" s="20"/>
      <c r="H346" s="6"/>
      <c r="I346" s="6"/>
      <c r="Q346" s="18"/>
      <c r="S346" s="18"/>
      <c r="AL346" s="19"/>
      <c r="AW346" s="21"/>
    </row>
    <row r="347" spans="1:49" ht="13.2">
      <c r="A347" s="7"/>
      <c r="B347" s="7"/>
      <c r="G347" s="20"/>
      <c r="H347" s="6"/>
      <c r="I347" s="6"/>
      <c r="Q347" s="18"/>
      <c r="S347" s="18"/>
      <c r="AL347" s="19"/>
      <c r="AW347" s="21"/>
    </row>
    <row r="348" spans="1:49" ht="13.2">
      <c r="A348" s="7"/>
      <c r="B348" s="7"/>
      <c r="G348" s="20"/>
      <c r="H348" s="6"/>
      <c r="I348" s="6"/>
      <c r="Q348" s="18"/>
      <c r="S348" s="18"/>
      <c r="AL348" s="19"/>
      <c r="AW348" s="21"/>
    </row>
    <row r="349" spans="1:49" ht="13.2">
      <c r="A349" s="7"/>
      <c r="B349" s="7"/>
      <c r="G349" s="20"/>
      <c r="H349" s="6"/>
      <c r="I349" s="6"/>
      <c r="Q349" s="18"/>
      <c r="S349" s="18"/>
      <c r="AL349" s="19"/>
      <c r="AW349" s="21"/>
    </row>
    <row r="350" spans="1:49" ht="13.2">
      <c r="A350" s="7"/>
      <c r="B350" s="7"/>
      <c r="G350" s="20"/>
      <c r="H350" s="6"/>
      <c r="I350" s="6"/>
      <c r="Q350" s="18"/>
      <c r="S350" s="18"/>
      <c r="AL350" s="19"/>
      <c r="AW350" s="21"/>
    </row>
    <row r="351" spans="1:49" ht="13.2">
      <c r="A351" s="7"/>
      <c r="B351" s="7"/>
      <c r="G351" s="20"/>
      <c r="H351" s="6"/>
      <c r="I351" s="6"/>
      <c r="Q351" s="18"/>
      <c r="S351" s="18"/>
      <c r="AL351" s="19"/>
      <c r="AW351" s="21"/>
    </row>
    <row r="352" spans="1:49" ht="13.2">
      <c r="A352" s="7"/>
      <c r="B352" s="7"/>
      <c r="G352" s="20"/>
      <c r="H352" s="6"/>
      <c r="I352" s="6"/>
      <c r="Q352" s="18"/>
      <c r="S352" s="18"/>
      <c r="AL352" s="19"/>
      <c r="AW352" s="21"/>
    </row>
    <row r="353" spans="1:49" ht="13.2">
      <c r="A353" s="7"/>
      <c r="B353" s="7"/>
      <c r="G353" s="20"/>
      <c r="H353" s="6"/>
      <c r="I353" s="6"/>
      <c r="Q353" s="18"/>
      <c r="S353" s="18"/>
      <c r="AL353" s="19"/>
      <c r="AW353" s="21"/>
    </row>
    <row r="354" spans="1:49" ht="13.2">
      <c r="A354" s="7"/>
      <c r="B354" s="7"/>
      <c r="G354" s="20"/>
      <c r="H354" s="6"/>
      <c r="I354" s="6"/>
      <c r="Q354" s="18"/>
      <c r="S354" s="18"/>
      <c r="AL354" s="19"/>
      <c r="AW354" s="21"/>
    </row>
    <row r="355" spans="1:49" ht="13.2">
      <c r="A355" s="7"/>
      <c r="B355" s="7"/>
      <c r="G355" s="20"/>
      <c r="H355" s="6"/>
      <c r="I355" s="6"/>
      <c r="Q355" s="18"/>
      <c r="S355" s="18"/>
      <c r="AL355" s="19"/>
      <c r="AW355" s="21"/>
    </row>
    <row r="356" spans="1:49" ht="13.2">
      <c r="A356" s="7"/>
      <c r="B356" s="7"/>
      <c r="G356" s="20"/>
      <c r="H356" s="6"/>
      <c r="I356" s="6"/>
      <c r="Q356" s="18"/>
      <c r="S356" s="18"/>
      <c r="AL356" s="19"/>
      <c r="AW356" s="21"/>
    </row>
    <row r="357" spans="1:49" ht="13.2">
      <c r="A357" s="7"/>
      <c r="B357" s="7"/>
      <c r="G357" s="20"/>
      <c r="H357" s="6"/>
      <c r="I357" s="6"/>
      <c r="Q357" s="18"/>
      <c r="S357" s="18"/>
      <c r="AL357" s="19"/>
      <c r="AW357" s="21"/>
    </row>
    <row r="358" spans="1:49" ht="13.2">
      <c r="A358" s="7"/>
      <c r="B358" s="7"/>
      <c r="G358" s="20"/>
      <c r="H358" s="6"/>
      <c r="I358" s="6"/>
      <c r="Q358" s="18"/>
      <c r="S358" s="18"/>
      <c r="AL358" s="19"/>
      <c r="AW358" s="21"/>
    </row>
    <row r="359" spans="1:49" ht="13.2">
      <c r="A359" s="7"/>
      <c r="B359" s="7"/>
      <c r="G359" s="20"/>
      <c r="H359" s="6"/>
      <c r="I359" s="6"/>
      <c r="Q359" s="18"/>
      <c r="S359" s="18"/>
      <c r="AL359" s="19"/>
      <c r="AW359" s="21"/>
    </row>
    <row r="360" spans="1:49" ht="13.2">
      <c r="A360" s="7"/>
      <c r="B360" s="7"/>
      <c r="G360" s="20"/>
      <c r="H360" s="6"/>
      <c r="I360" s="6"/>
      <c r="Q360" s="18"/>
      <c r="S360" s="18"/>
      <c r="AL360" s="19"/>
      <c r="AW360" s="21"/>
    </row>
    <row r="361" spans="1:49" ht="13.2">
      <c r="A361" s="7"/>
      <c r="B361" s="7"/>
      <c r="G361" s="20"/>
      <c r="H361" s="6"/>
      <c r="I361" s="6"/>
      <c r="Q361" s="18"/>
      <c r="S361" s="18"/>
      <c r="AL361" s="19"/>
      <c r="AW361" s="21"/>
    </row>
    <row r="362" spans="1:49" ht="13.2">
      <c r="A362" s="7"/>
      <c r="B362" s="7"/>
      <c r="G362" s="20"/>
      <c r="H362" s="6"/>
      <c r="I362" s="6"/>
      <c r="Q362" s="18"/>
      <c r="S362" s="18"/>
      <c r="AL362" s="19"/>
      <c r="AW362" s="21"/>
    </row>
    <row r="363" spans="1:49" ht="13.2">
      <c r="A363" s="7"/>
      <c r="B363" s="7"/>
      <c r="G363" s="20"/>
      <c r="H363" s="6"/>
      <c r="I363" s="6"/>
      <c r="Q363" s="18"/>
      <c r="S363" s="18"/>
      <c r="AL363" s="19"/>
      <c r="AW363" s="21"/>
    </row>
    <row r="364" spans="1:49" ht="13.2">
      <c r="A364" s="7"/>
      <c r="B364" s="7"/>
      <c r="G364" s="20"/>
      <c r="H364" s="6"/>
      <c r="I364" s="6"/>
      <c r="Q364" s="18"/>
      <c r="S364" s="18"/>
      <c r="AL364" s="19"/>
      <c r="AW364" s="21"/>
    </row>
    <row r="365" spans="1:49" ht="13.2">
      <c r="A365" s="7"/>
      <c r="B365" s="7"/>
      <c r="G365" s="20"/>
      <c r="H365" s="6"/>
      <c r="I365" s="6"/>
      <c r="Q365" s="18"/>
      <c r="S365" s="18"/>
      <c r="AL365" s="19"/>
      <c r="AW365" s="21"/>
    </row>
    <row r="366" spans="1:49" ht="13.2">
      <c r="A366" s="7"/>
      <c r="B366" s="7"/>
      <c r="G366" s="20"/>
      <c r="H366" s="6"/>
      <c r="I366" s="6"/>
      <c r="Q366" s="18"/>
      <c r="S366" s="18"/>
      <c r="AL366" s="19"/>
      <c r="AW366" s="21"/>
    </row>
    <row r="367" spans="1:49" ht="13.2">
      <c r="A367" s="7"/>
      <c r="B367" s="7"/>
      <c r="G367" s="20"/>
      <c r="H367" s="6"/>
      <c r="I367" s="6"/>
      <c r="Q367" s="18"/>
      <c r="S367" s="18"/>
      <c r="AL367" s="19"/>
      <c r="AW367" s="21"/>
    </row>
    <row r="368" spans="1:49" ht="13.2">
      <c r="A368" s="7"/>
      <c r="B368" s="7"/>
      <c r="G368" s="20"/>
      <c r="H368" s="6"/>
      <c r="I368" s="6"/>
      <c r="Q368" s="18"/>
      <c r="S368" s="18"/>
      <c r="AL368" s="19"/>
      <c r="AW368" s="21"/>
    </row>
    <row r="369" spans="1:49" ht="13.2">
      <c r="A369" s="7"/>
      <c r="B369" s="7"/>
      <c r="G369" s="20"/>
      <c r="H369" s="6"/>
      <c r="I369" s="6"/>
      <c r="Q369" s="18"/>
      <c r="S369" s="18"/>
      <c r="AL369" s="19"/>
      <c r="AW369" s="21"/>
    </row>
    <row r="370" spans="1:49" ht="13.2">
      <c r="A370" s="7"/>
      <c r="B370" s="7"/>
      <c r="G370" s="20"/>
      <c r="H370" s="6"/>
      <c r="I370" s="6"/>
      <c r="Q370" s="18"/>
      <c r="S370" s="18"/>
      <c r="AL370" s="19"/>
      <c r="AW370" s="21"/>
    </row>
    <row r="371" spans="1:49" ht="13.2">
      <c r="A371" s="7"/>
      <c r="B371" s="7"/>
      <c r="G371" s="20"/>
      <c r="H371" s="6"/>
      <c r="I371" s="6"/>
      <c r="Q371" s="18"/>
      <c r="S371" s="18"/>
      <c r="AL371" s="19"/>
      <c r="AW371" s="21"/>
    </row>
    <row r="372" spans="1:49" ht="13.2">
      <c r="A372" s="7"/>
      <c r="B372" s="7"/>
      <c r="G372" s="20"/>
      <c r="H372" s="6"/>
      <c r="I372" s="6"/>
      <c r="Q372" s="18"/>
      <c r="S372" s="18"/>
      <c r="AL372" s="19"/>
      <c r="AW372" s="21"/>
    </row>
    <row r="373" spans="1:49" ht="13.2">
      <c r="A373" s="7"/>
      <c r="B373" s="7"/>
      <c r="G373" s="20"/>
      <c r="H373" s="6"/>
      <c r="I373" s="6"/>
      <c r="Q373" s="18"/>
      <c r="S373" s="18"/>
      <c r="AL373" s="19"/>
      <c r="AW373" s="21"/>
    </row>
    <row r="374" spans="1:49" ht="13.2">
      <c r="A374" s="7"/>
      <c r="B374" s="7"/>
      <c r="G374" s="20"/>
      <c r="H374" s="6"/>
      <c r="I374" s="6"/>
      <c r="Q374" s="18"/>
      <c r="S374" s="18"/>
      <c r="AL374" s="19"/>
      <c r="AW374" s="21"/>
    </row>
    <row r="375" spans="1:49" ht="13.2">
      <c r="A375" s="7"/>
      <c r="B375" s="7"/>
      <c r="G375" s="20"/>
      <c r="H375" s="6"/>
      <c r="I375" s="6"/>
      <c r="Q375" s="18"/>
      <c r="S375" s="18"/>
      <c r="AL375" s="19"/>
      <c r="AW375" s="21"/>
    </row>
    <row r="376" spans="1:49" ht="13.2">
      <c r="A376" s="7"/>
      <c r="B376" s="7"/>
      <c r="G376" s="20"/>
      <c r="H376" s="6"/>
      <c r="I376" s="6"/>
      <c r="Q376" s="18"/>
      <c r="S376" s="18"/>
      <c r="AL376" s="19"/>
      <c r="AW376" s="21"/>
    </row>
    <row r="377" spans="1:49" ht="13.2">
      <c r="A377" s="7"/>
      <c r="B377" s="7"/>
      <c r="G377" s="20"/>
      <c r="H377" s="6"/>
      <c r="I377" s="6"/>
      <c r="Q377" s="18"/>
      <c r="S377" s="18"/>
      <c r="AL377" s="19"/>
      <c r="AW377" s="21"/>
    </row>
    <row r="378" spans="1:49" ht="13.2">
      <c r="A378" s="7"/>
      <c r="B378" s="7"/>
      <c r="G378" s="20"/>
      <c r="H378" s="6"/>
      <c r="I378" s="6"/>
      <c r="Q378" s="18"/>
      <c r="S378" s="18"/>
      <c r="AL378" s="19"/>
      <c r="AW378" s="21"/>
    </row>
    <row r="379" spans="1:49" ht="13.2">
      <c r="A379" s="7"/>
      <c r="B379" s="7"/>
      <c r="G379" s="20"/>
      <c r="H379" s="6"/>
      <c r="I379" s="6"/>
      <c r="Q379" s="18"/>
      <c r="S379" s="18"/>
      <c r="AL379" s="19"/>
      <c r="AW379" s="21"/>
    </row>
    <row r="380" spans="1:49" ht="13.2">
      <c r="A380" s="7"/>
      <c r="B380" s="7"/>
      <c r="G380" s="20"/>
      <c r="H380" s="6"/>
      <c r="I380" s="6"/>
      <c r="Q380" s="18"/>
      <c r="S380" s="18"/>
      <c r="AL380" s="19"/>
      <c r="AW380" s="21"/>
    </row>
    <row r="381" spans="1:49" ht="13.2">
      <c r="A381" s="7"/>
      <c r="B381" s="7"/>
      <c r="G381" s="20"/>
      <c r="H381" s="6"/>
      <c r="I381" s="6"/>
      <c r="Q381" s="18"/>
      <c r="S381" s="18"/>
      <c r="AL381" s="19"/>
      <c r="AW381" s="21"/>
    </row>
    <row r="382" spans="1:49" ht="13.2">
      <c r="A382" s="7"/>
      <c r="B382" s="7"/>
      <c r="G382" s="20"/>
      <c r="H382" s="6"/>
      <c r="I382" s="6"/>
      <c r="Q382" s="18"/>
      <c r="S382" s="18"/>
      <c r="AL382" s="19"/>
      <c r="AW382" s="21"/>
    </row>
    <row r="383" spans="1:49" ht="13.2">
      <c r="A383" s="7"/>
      <c r="B383" s="7"/>
      <c r="G383" s="20"/>
      <c r="H383" s="6"/>
      <c r="I383" s="6"/>
      <c r="Q383" s="18"/>
      <c r="S383" s="18"/>
      <c r="AL383" s="19"/>
      <c r="AW383" s="21"/>
    </row>
    <row r="384" spans="1:49" ht="13.2">
      <c r="A384" s="7"/>
      <c r="B384" s="7"/>
      <c r="G384" s="20"/>
      <c r="H384" s="6"/>
      <c r="I384" s="6"/>
      <c r="Q384" s="18"/>
      <c r="S384" s="18"/>
      <c r="AL384" s="19"/>
      <c r="AW384" s="21"/>
    </row>
    <row r="385" spans="1:49" ht="13.2">
      <c r="A385" s="7"/>
      <c r="B385" s="7"/>
      <c r="G385" s="20"/>
      <c r="H385" s="6"/>
      <c r="I385" s="6"/>
      <c r="Q385" s="18"/>
      <c r="S385" s="18"/>
      <c r="AL385" s="19"/>
      <c r="AW385" s="21"/>
    </row>
    <row r="386" spans="1:49" ht="13.2">
      <c r="A386" s="7"/>
      <c r="B386" s="7"/>
      <c r="G386" s="20"/>
      <c r="H386" s="6"/>
      <c r="I386" s="6"/>
      <c r="Q386" s="18"/>
      <c r="S386" s="18"/>
      <c r="AL386" s="19"/>
      <c r="AW386" s="21"/>
    </row>
    <row r="387" spans="1:49" ht="13.2">
      <c r="A387" s="7"/>
      <c r="B387" s="7"/>
      <c r="G387" s="20"/>
      <c r="H387" s="6"/>
      <c r="I387" s="6"/>
      <c r="Q387" s="18"/>
      <c r="S387" s="18"/>
      <c r="AL387" s="19"/>
      <c r="AW387" s="21"/>
    </row>
    <row r="388" spans="1:49" ht="13.2">
      <c r="A388" s="7"/>
      <c r="B388" s="7"/>
      <c r="G388" s="20"/>
      <c r="H388" s="6"/>
      <c r="I388" s="6"/>
      <c r="Q388" s="18"/>
      <c r="S388" s="18"/>
      <c r="AL388" s="19"/>
      <c r="AW388" s="21"/>
    </row>
    <row r="389" spans="1:49" ht="13.2">
      <c r="A389" s="7"/>
      <c r="B389" s="7"/>
      <c r="G389" s="20"/>
      <c r="H389" s="6"/>
      <c r="I389" s="6"/>
      <c r="Q389" s="18"/>
      <c r="S389" s="18"/>
      <c r="AL389" s="19"/>
      <c r="AW389" s="21"/>
    </row>
    <row r="390" spans="1:49" ht="13.2">
      <c r="A390" s="7"/>
      <c r="B390" s="7"/>
      <c r="G390" s="20"/>
      <c r="H390" s="6"/>
      <c r="I390" s="6"/>
      <c r="Q390" s="18"/>
      <c r="S390" s="18"/>
      <c r="AL390" s="19"/>
      <c r="AW390" s="21"/>
    </row>
    <row r="391" spans="1:49" ht="13.2">
      <c r="A391" s="7"/>
      <c r="B391" s="7"/>
      <c r="G391" s="20"/>
      <c r="H391" s="6"/>
      <c r="I391" s="6"/>
      <c r="Q391" s="18"/>
      <c r="S391" s="18"/>
      <c r="AL391" s="19"/>
      <c r="AW391" s="21"/>
    </row>
    <row r="392" spans="1:49" ht="13.2">
      <c r="A392" s="7"/>
      <c r="B392" s="7"/>
      <c r="G392" s="20"/>
      <c r="H392" s="6"/>
      <c r="I392" s="6"/>
      <c r="Q392" s="18"/>
      <c r="S392" s="18"/>
      <c r="AL392" s="19"/>
      <c r="AW392" s="21"/>
    </row>
    <row r="393" spans="1:49" ht="13.2">
      <c r="A393" s="7"/>
      <c r="B393" s="7"/>
      <c r="G393" s="20"/>
      <c r="H393" s="6"/>
      <c r="I393" s="6"/>
      <c r="Q393" s="18"/>
      <c r="S393" s="18"/>
      <c r="AL393" s="19"/>
      <c r="AW393" s="21"/>
    </row>
    <row r="394" spans="1:49" ht="13.2">
      <c r="A394" s="7"/>
      <c r="B394" s="7"/>
      <c r="G394" s="20"/>
      <c r="H394" s="6"/>
      <c r="I394" s="6"/>
      <c r="Q394" s="18"/>
      <c r="S394" s="18"/>
      <c r="AL394" s="19"/>
      <c r="AW394" s="21"/>
    </row>
    <row r="395" spans="1:49" ht="13.2">
      <c r="A395" s="7"/>
      <c r="B395" s="7"/>
      <c r="G395" s="20"/>
      <c r="H395" s="6"/>
      <c r="I395" s="6"/>
      <c r="Q395" s="18"/>
      <c r="S395" s="18"/>
      <c r="AL395" s="19"/>
      <c r="AW395" s="21"/>
    </row>
    <row r="396" spans="1:49" ht="13.2">
      <c r="A396" s="7"/>
      <c r="B396" s="7"/>
      <c r="G396" s="20"/>
      <c r="H396" s="6"/>
      <c r="I396" s="6"/>
      <c r="Q396" s="18"/>
      <c r="S396" s="18"/>
      <c r="AL396" s="19"/>
      <c r="AW396" s="21"/>
    </row>
    <row r="397" spans="1:49" ht="13.2">
      <c r="A397" s="7"/>
      <c r="B397" s="7"/>
      <c r="G397" s="20"/>
      <c r="H397" s="6"/>
      <c r="I397" s="6"/>
      <c r="Q397" s="18"/>
      <c r="S397" s="18"/>
      <c r="AL397" s="19"/>
      <c r="AW397" s="21"/>
    </row>
    <row r="398" spans="1:49" ht="13.2">
      <c r="A398" s="7"/>
      <c r="B398" s="7"/>
      <c r="G398" s="20"/>
      <c r="H398" s="6"/>
      <c r="I398" s="6"/>
      <c r="Q398" s="18"/>
      <c r="S398" s="18"/>
      <c r="AL398" s="19"/>
      <c r="AW398" s="21"/>
    </row>
    <row r="399" spans="1:49" ht="13.2">
      <c r="A399" s="7"/>
      <c r="B399" s="7"/>
      <c r="G399" s="20"/>
      <c r="H399" s="6"/>
      <c r="I399" s="6"/>
      <c r="Q399" s="18"/>
      <c r="S399" s="18"/>
      <c r="AL399" s="19"/>
      <c r="AW399" s="21"/>
    </row>
    <row r="400" spans="1:49" ht="13.2">
      <c r="A400" s="7"/>
      <c r="B400" s="7"/>
      <c r="G400" s="20"/>
      <c r="H400" s="6"/>
      <c r="I400" s="6"/>
      <c r="Q400" s="18"/>
      <c r="S400" s="18"/>
      <c r="AL400" s="19"/>
      <c r="AW400" s="21"/>
    </row>
    <row r="401" spans="1:49" ht="13.2">
      <c r="A401" s="7"/>
      <c r="B401" s="7"/>
      <c r="G401" s="20"/>
      <c r="H401" s="6"/>
      <c r="I401" s="6"/>
      <c r="Q401" s="18"/>
      <c r="S401" s="18"/>
      <c r="AL401" s="19"/>
      <c r="AW401" s="21"/>
    </row>
    <row r="402" spans="1:49" ht="13.2">
      <c r="A402" s="7"/>
      <c r="B402" s="7"/>
      <c r="G402" s="20"/>
      <c r="H402" s="6"/>
      <c r="I402" s="6"/>
      <c r="Q402" s="18"/>
      <c r="S402" s="18"/>
      <c r="AL402" s="19"/>
      <c r="AW402" s="21"/>
    </row>
    <row r="403" spans="1:49" ht="13.2">
      <c r="A403" s="7"/>
      <c r="B403" s="7"/>
      <c r="G403" s="20"/>
      <c r="H403" s="6"/>
      <c r="I403" s="6"/>
      <c r="Q403" s="18"/>
      <c r="S403" s="18"/>
      <c r="AL403" s="19"/>
      <c r="AW403" s="21"/>
    </row>
    <row r="404" spans="1:49" ht="13.2">
      <c r="A404" s="7"/>
      <c r="B404" s="7"/>
      <c r="G404" s="20"/>
      <c r="H404" s="6"/>
      <c r="I404" s="6"/>
      <c r="Q404" s="18"/>
      <c r="S404" s="18"/>
      <c r="AL404" s="19"/>
      <c r="AW404" s="21"/>
    </row>
    <row r="405" spans="1:49" ht="13.2">
      <c r="A405" s="7"/>
      <c r="B405" s="7"/>
      <c r="G405" s="20"/>
      <c r="H405" s="6"/>
      <c r="I405" s="6"/>
      <c r="Q405" s="18"/>
      <c r="S405" s="18"/>
      <c r="AL405" s="19"/>
      <c r="AW405" s="21"/>
    </row>
    <row r="406" spans="1:49" ht="13.2">
      <c r="A406" s="7"/>
      <c r="B406" s="7"/>
      <c r="G406" s="20"/>
      <c r="H406" s="6"/>
      <c r="I406" s="6"/>
      <c r="Q406" s="18"/>
      <c r="S406" s="18"/>
      <c r="AL406" s="19"/>
      <c r="AW406" s="21"/>
    </row>
    <row r="407" spans="1:49" ht="13.2">
      <c r="A407" s="7"/>
      <c r="B407" s="7"/>
      <c r="G407" s="20"/>
      <c r="H407" s="6"/>
      <c r="I407" s="6"/>
      <c r="Q407" s="18"/>
      <c r="S407" s="18"/>
      <c r="AL407" s="19"/>
      <c r="AW407" s="21"/>
    </row>
    <row r="408" spans="1:49" ht="13.2">
      <c r="A408" s="7"/>
      <c r="B408" s="7"/>
      <c r="G408" s="20"/>
      <c r="H408" s="6"/>
      <c r="I408" s="6"/>
      <c r="Q408" s="18"/>
      <c r="S408" s="18"/>
      <c r="AL408" s="19"/>
      <c r="AW408" s="21"/>
    </row>
    <row r="409" spans="1:49" ht="13.2">
      <c r="A409" s="7"/>
      <c r="B409" s="7"/>
      <c r="G409" s="20"/>
      <c r="H409" s="6"/>
      <c r="I409" s="6"/>
      <c r="Q409" s="18"/>
      <c r="S409" s="18"/>
      <c r="AL409" s="19"/>
      <c r="AW409" s="21"/>
    </row>
    <row r="410" spans="1:49" ht="13.2">
      <c r="A410" s="7"/>
      <c r="B410" s="7"/>
      <c r="G410" s="20"/>
      <c r="H410" s="6"/>
      <c r="I410" s="6"/>
      <c r="Q410" s="18"/>
      <c r="S410" s="18"/>
      <c r="AL410" s="19"/>
      <c r="AW410" s="21"/>
    </row>
    <row r="411" spans="1:49" ht="13.2">
      <c r="A411" s="7"/>
      <c r="B411" s="7"/>
      <c r="G411" s="20"/>
      <c r="H411" s="6"/>
      <c r="I411" s="6"/>
      <c r="Q411" s="18"/>
      <c r="S411" s="18"/>
      <c r="AL411" s="19"/>
      <c r="AW411" s="21"/>
    </row>
    <row r="412" spans="1:49" ht="13.2">
      <c r="A412" s="7"/>
      <c r="B412" s="7"/>
      <c r="G412" s="20"/>
      <c r="H412" s="6"/>
      <c r="I412" s="6"/>
      <c r="Q412" s="18"/>
      <c r="S412" s="18"/>
      <c r="AL412" s="19"/>
      <c r="AW412" s="21"/>
    </row>
    <row r="413" spans="1:49" ht="13.2">
      <c r="A413" s="7"/>
      <c r="B413" s="7"/>
      <c r="G413" s="20"/>
      <c r="H413" s="6"/>
      <c r="I413" s="6"/>
      <c r="Q413" s="18"/>
      <c r="S413" s="18"/>
      <c r="AL413" s="19"/>
      <c r="AW413" s="21"/>
    </row>
    <row r="414" spans="1:49" ht="13.2">
      <c r="A414" s="7"/>
      <c r="B414" s="7"/>
      <c r="G414" s="20"/>
      <c r="H414" s="6"/>
      <c r="I414" s="6"/>
      <c r="Q414" s="18"/>
      <c r="S414" s="18"/>
      <c r="AL414" s="19"/>
      <c r="AW414" s="21"/>
    </row>
    <row r="415" spans="1:49" ht="13.2">
      <c r="A415" s="7"/>
      <c r="B415" s="7"/>
      <c r="G415" s="20"/>
      <c r="H415" s="6"/>
      <c r="I415" s="6"/>
      <c r="Q415" s="18"/>
      <c r="S415" s="18"/>
      <c r="AL415" s="19"/>
      <c r="AW415" s="21"/>
    </row>
    <row r="416" spans="1:49" ht="13.2">
      <c r="A416" s="7"/>
      <c r="B416" s="7"/>
      <c r="G416" s="20"/>
      <c r="H416" s="6"/>
      <c r="I416" s="6"/>
      <c r="Q416" s="18"/>
      <c r="S416" s="18"/>
      <c r="AL416" s="19"/>
      <c r="AW416" s="21"/>
    </row>
    <row r="417" spans="1:49" ht="13.2">
      <c r="A417" s="7"/>
      <c r="B417" s="7"/>
      <c r="G417" s="20"/>
      <c r="H417" s="6"/>
      <c r="I417" s="6"/>
      <c r="Q417" s="18"/>
      <c r="S417" s="18"/>
      <c r="AL417" s="19"/>
      <c r="AW417" s="21"/>
    </row>
    <row r="418" spans="1:49" ht="13.2">
      <c r="A418" s="7"/>
      <c r="B418" s="7"/>
      <c r="G418" s="20"/>
      <c r="H418" s="6"/>
      <c r="I418" s="6"/>
      <c r="Q418" s="18"/>
      <c r="S418" s="18"/>
      <c r="AL418" s="19"/>
      <c r="AW418" s="21"/>
    </row>
    <row r="419" spans="1:49" ht="13.2">
      <c r="A419" s="7"/>
      <c r="B419" s="7"/>
      <c r="G419" s="20"/>
      <c r="H419" s="6"/>
      <c r="I419" s="6"/>
      <c r="Q419" s="18"/>
      <c r="S419" s="18"/>
      <c r="AL419" s="19"/>
      <c r="AW419" s="21"/>
    </row>
    <row r="420" spans="1:49" ht="13.2">
      <c r="A420" s="7"/>
      <c r="B420" s="7"/>
      <c r="G420" s="20"/>
      <c r="H420" s="6"/>
      <c r="I420" s="6"/>
      <c r="Q420" s="18"/>
      <c r="S420" s="18"/>
      <c r="AL420" s="19"/>
      <c r="AW420" s="21"/>
    </row>
    <row r="421" spans="1:49" ht="13.2">
      <c r="A421" s="7"/>
      <c r="B421" s="7"/>
      <c r="G421" s="20"/>
      <c r="H421" s="6"/>
      <c r="I421" s="6"/>
      <c r="Q421" s="18"/>
      <c r="S421" s="18"/>
      <c r="AL421" s="19"/>
      <c r="AW421" s="21"/>
    </row>
    <row r="422" spans="1:49" ht="13.2">
      <c r="A422" s="7"/>
      <c r="B422" s="7"/>
      <c r="G422" s="20"/>
      <c r="H422" s="6"/>
      <c r="I422" s="6"/>
      <c r="Q422" s="18"/>
      <c r="S422" s="18"/>
      <c r="AL422" s="19"/>
      <c r="AW422" s="21"/>
    </row>
    <row r="423" spans="1:49" ht="13.2">
      <c r="A423" s="7"/>
      <c r="B423" s="7"/>
      <c r="G423" s="20"/>
      <c r="H423" s="6"/>
      <c r="I423" s="6"/>
      <c r="Q423" s="18"/>
      <c r="S423" s="18"/>
      <c r="AL423" s="19"/>
      <c r="AW423" s="21"/>
    </row>
    <row r="424" spans="1:49" ht="13.2">
      <c r="A424" s="7"/>
      <c r="B424" s="7"/>
      <c r="G424" s="20"/>
      <c r="H424" s="6"/>
      <c r="I424" s="6"/>
      <c r="Q424" s="18"/>
      <c r="S424" s="18"/>
      <c r="AL424" s="19"/>
      <c r="AW424" s="21"/>
    </row>
    <row r="425" spans="1:49" ht="13.2">
      <c r="A425" s="7"/>
      <c r="B425" s="7"/>
      <c r="G425" s="20"/>
      <c r="H425" s="6"/>
      <c r="I425" s="6"/>
      <c r="Q425" s="18"/>
      <c r="S425" s="18"/>
      <c r="AL425" s="19"/>
      <c r="AW425" s="21"/>
    </row>
    <row r="426" spans="1:49" ht="13.2">
      <c r="A426" s="7"/>
      <c r="B426" s="7"/>
      <c r="G426" s="20"/>
      <c r="H426" s="6"/>
      <c r="I426" s="6"/>
      <c r="Q426" s="18"/>
      <c r="S426" s="18"/>
      <c r="AL426" s="19"/>
      <c r="AW426" s="21"/>
    </row>
    <row r="427" spans="1:49" ht="13.2">
      <c r="A427" s="7"/>
      <c r="B427" s="7"/>
      <c r="G427" s="20"/>
      <c r="H427" s="6"/>
      <c r="I427" s="6"/>
      <c r="Q427" s="18"/>
      <c r="S427" s="18"/>
      <c r="AL427" s="19"/>
      <c r="AW427" s="21"/>
    </row>
    <row r="428" spans="1:49" ht="13.2">
      <c r="A428" s="7"/>
      <c r="B428" s="7"/>
      <c r="G428" s="20"/>
      <c r="H428" s="6"/>
      <c r="I428" s="6"/>
      <c r="Q428" s="18"/>
      <c r="S428" s="18"/>
      <c r="AL428" s="19"/>
      <c r="AW428" s="21"/>
    </row>
    <row r="429" spans="1:49" ht="13.2">
      <c r="A429" s="7"/>
      <c r="B429" s="7"/>
      <c r="G429" s="20"/>
      <c r="H429" s="6"/>
      <c r="I429" s="6"/>
      <c r="Q429" s="18"/>
      <c r="S429" s="18"/>
      <c r="AL429" s="19"/>
      <c r="AW429" s="21"/>
    </row>
    <row r="430" spans="1:49" ht="13.2">
      <c r="A430" s="7"/>
      <c r="B430" s="7"/>
      <c r="G430" s="20"/>
      <c r="H430" s="6"/>
      <c r="I430" s="6"/>
      <c r="Q430" s="18"/>
      <c r="S430" s="18"/>
      <c r="AL430" s="19"/>
      <c r="AW430" s="21"/>
    </row>
    <row r="431" spans="1:49" ht="13.2">
      <c r="A431" s="7"/>
      <c r="B431" s="7"/>
      <c r="G431" s="20"/>
      <c r="H431" s="6"/>
      <c r="I431" s="6"/>
      <c r="Q431" s="18"/>
      <c r="S431" s="18"/>
      <c r="AL431" s="19"/>
      <c r="AW431" s="21"/>
    </row>
    <row r="432" spans="1:49" ht="13.2">
      <c r="A432" s="7"/>
      <c r="B432" s="7"/>
      <c r="G432" s="20"/>
      <c r="H432" s="6"/>
      <c r="I432" s="6"/>
      <c r="Q432" s="18"/>
      <c r="S432" s="18"/>
      <c r="AL432" s="19"/>
      <c r="AW432" s="21"/>
    </row>
    <row r="433" spans="1:49" ht="13.2">
      <c r="A433" s="7"/>
      <c r="B433" s="7"/>
      <c r="G433" s="20"/>
      <c r="H433" s="6"/>
      <c r="I433" s="6"/>
      <c r="Q433" s="18"/>
      <c r="S433" s="18"/>
      <c r="AL433" s="19"/>
      <c r="AW433" s="21"/>
    </row>
    <row r="434" spans="1:49" ht="13.2">
      <c r="A434" s="7"/>
      <c r="B434" s="7"/>
      <c r="G434" s="20"/>
      <c r="H434" s="6"/>
      <c r="I434" s="6"/>
      <c r="Q434" s="18"/>
      <c r="S434" s="18"/>
      <c r="AL434" s="19"/>
      <c r="AW434" s="21"/>
    </row>
    <row r="435" spans="1:49" ht="13.2">
      <c r="A435" s="7"/>
      <c r="B435" s="7"/>
      <c r="G435" s="20"/>
      <c r="H435" s="6"/>
      <c r="I435" s="6"/>
      <c r="Q435" s="18"/>
      <c r="S435" s="18"/>
      <c r="AL435" s="19"/>
      <c r="AW435" s="21"/>
    </row>
    <row r="436" spans="1:49" ht="13.2">
      <c r="A436" s="7"/>
      <c r="B436" s="7"/>
      <c r="G436" s="20"/>
      <c r="H436" s="6"/>
      <c r="I436" s="6"/>
      <c r="Q436" s="18"/>
      <c r="S436" s="18"/>
      <c r="AL436" s="19"/>
      <c r="AW436" s="21"/>
    </row>
    <row r="437" spans="1:49" ht="13.2">
      <c r="A437" s="7"/>
      <c r="B437" s="7"/>
      <c r="G437" s="20"/>
      <c r="H437" s="6"/>
      <c r="I437" s="6"/>
      <c r="Q437" s="18"/>
      <c r="S437" s="18"/>
      <c r="AL437" s="19"/>
      <c r="AW437" s="21"/>
    </row>
    <row r="438" spans="1:49" ht="13.2">
      <c r="A438" s="7"/>
      <c r="B438" s="7"/>
      <c r="G438" s="20"/>
      <c r="H438" s="6"/>
      <c r="I438" s="6"/>
      <c r="Q438" s="18"/>
      <c r="S438" s="18"/>
      <c r="AL438" s="19"/>
      <c r="AW438" s="21"/>
    </row>
    <row r="439" spans="1:49" ht="13.2">
      <c r="A439" s="7"/>
      <c r="B439" s="7"/>
      <c r="G439" s="20"/>
      <c r="H439" s="6"/>
      <c r="I439" s="6"/>
      <c r="Q439" s="18"/>
      <c r="S439" s="18"/>
      <c r="AL439" s="19"/>
      <c r="AW439" s="21"/>
    </row>
    <row r="440" spans="1:49" ht="13.2">
      <c r="A440" s="7"/>
      <c r="B440" s="7"/>
      <c r="G440" s="20"/>
      <c r="H440" s="6"/>
      <c r="I440" s="6"/>
      <c r="Q440" s="18"/>
      <c r="S440" s="18"/>
      <c r="AL440" s="19"/>
      <c r="AW440" s="21"/>
    </row>
    <row r="441" spans="1:49" ht="13.2">
      <c r="A441" s="7"/>
      <c r="B441" s="7"/>
      <c r="G441" s="20"/>
      <c r="H441" s="6"/>
      <c r="I441" s="6"/>
      <c r="Q441" s="18"/>
      <c r="S441" s="18"/>
      <c r="AL441" s="19"/>
      <c r="AW441" s="21"/>
    </row>
    <row r="442" spans="1:49" ht="13.2">
      <c r="A442" s="7"/>
      <c r="B442" s="7"/>
      <c r="G442" s="20"/>
      <c r="H442" s="6"/>
      <c r="I442" s="6"/>
      <c r="Q442" s="18"/>
      <c r="S442" s="18"/>
      <c r="AL442" s="19"/>
      <c r="AW442" s="21"/>
    </row>
    <row r="443" spans="1:49" ht="13.2">
      <c r="A443" s="7"/>
      <c r="B443" s="7"/>
      <c r="G443" s="20"/>
      <c r="H443" s="6"/>
      <c r="I443" s="6"/>
      <c r="Q443" s="18"/>
      <c r="S443" s="18"/>
      <c r="AL443" s="19"/>
      <c r="AW443" s="21"/>
    </row>
    <row r="444" spans="1:49" ht="13.2">
      <c r="A444" s="7"/>
      <c r="B444" s="7"/>
      <c r="G444" s="20"/>
      <c r="H444" s="6"/>
      <c r="I444" s="6"/>
      <c r="Q444" s="18"/>
      <c r="S444" s="18"/>
      <c r="AL444" s="19"/>
      <c r="AW444" s="21"/>
    </row>
    <row r="445" spans="1:49" ht="13.2">
      <c r="A445" s="7"/>
      <c r="B445" s="7"/>
      <c r="G445" s="20"/>
      <c r="H445" s="6"/>
      <c r="I445" s="6"/>
      <c r="Q445" s="18"/>
      <c r="S445" s="18"/>
      <c r="AL445" s="19"/>
      <c r="AW445" s="21"/>
    </row>
    <row r="446" spans="1:49" ht="13.2">
      <c r="A446" s="7"/>
      <c r="B446" s="7"/>
      <c r="G446" s="20"/>
      <c r="H446" s="6"/>
      <c r="I446" s="6"/>
      <c r="Q446" s="18"/>
      <c r="S446" s="18"/>
      <c r="AL446" s="19"/>
      <c r="AW446" s="21"/>
    </row>
    <row r="447" spans="1:49" ht="13.2">
      <c r="A447" s="7"/>
      <c r="B447" s="7"/>
      <c r="G447" s="20"/>
      <c r="H447" s="6"/>
      <c r="I447" s="6"/>
      <c r="Q447" s="18"/>
      <c r="S447" s="18"/>
      <c r="AL447" s="19"/>
      <c r="AW447" s="21"/>
    </row>
    <row r="448" spans="1:49" ht="13.2">
      <c r="A448" s="7"/>
      <c r="B448" s="7"/>
      <c r="G448" s="20"/>
      <c r="H448" s="6"/>
      <c r="I448" s="6"/>
      <c r="Q448" s="18"/>
      <c r="S448" s="18"/>
      <c r="AL448" s="19"/>
      <c r="AW448" s="21"/>
    </row>
    <row r="449" spans="1:49" ht="13.2">
      <c r="A449" s="7"/>
      <c r="B449" s="7"/>
      <c r="G449" s="20"/>
      <c r="H449" s="6"/>
      <c r="I449" s="6"/>
      <c r="Q449" s="18"/>
      <c r="S449" s="18"/>
      <c r="AL449" s="19"/>
      <c r="AW449" s="21"/>
    </row>
    <row r="450" spans="1:49" ht="13.2">
      <c r="A450" s="7"/>
      <c r="B450" s="7"/>
      <c r="G450" s="20"/>
      <c r="H450" s="6"/>
      <c r="I450" s="6"/>
      <c r="Q450" s="18"/>
      <c r="S450" s="18"/>
      <c r="AL450" s="19"/>
      <c r="AW450" s="21"/>
    </row>
    <row r="451" spans="1:49" ht="13.2">
      <c r="A451" s="7"/>
      <c r="B451" s="7"/>
      <c r="G451" s="20"/>
      <c r="H451" s="6"/>
      <c r="I451" s="6"/>
      <c r="Q451" s="18"/>
      <c r="S451" s="18"/>
      <c r="AL451" s="19"/>
      <c r="AW451" s="21"/>
    </row>
    <row r="452" spans="1:49" ht="13.2">
      <c r="A452" s="7"/>
      <c r="B452" s="7"/>
      <c r="G452" s="20"/>
      <c r="H452" s="6"/>
      <c r="I452" s="6"/>
      <c r="Q452" s="18"/>
      <c r="S452" s="18"/>
      <c r="AL452" s="19"/>
      <c r="AW452" s="21"/>
    </row>
    <row r="453" spans="1:49" ht="13.2">
      <c r="A453" s="7"/>
      <c r="B453" s="7"/>
      <c r="G453" s="20"/>
      <c r="H453" s="6"/>
      <c r="I453" s="6"/>
      <c r="Q453" s="18"/>
      <c r="S453" s="18"/>
      <c r="AL453" s="19"/>
      <c r="AW453" s="21"/>
    </row>
    <row r="454" spans="1:49" ht="13.2">
      <c r="A454" s="7"/>
      <c r="B454" s="7"/>
      <c r="G454" s="20"/>
      <c r="H454" s="6"/>
      <c r="I454" s="6"/>
      <c r="Q454" s="18"/>
      <c r="S454" s="18"/>
      <c r="AL454" s="19"/>
      <c r="AW454" s="21"/>
    </row>
    <row r="455" spans="1:49" ht="13.2">
      <c r="A455" s="7"/>
      <c r="B455" s="7"/>
      <c r="G455" s="20"/>
      <c r="H455" s="6"/>
      <c r="I455" s="6"/>
      <c r="Q455" s="18"/>
      <c r="S455" s="18"/>
      <c r="AL455" s="19"/>
      <c r="AW455" s="21"/>
    </row>
    <row r="456" spans="1:49" ht="13.2">
      <c r="A456" s="7"/>
      <c r="B456" s="7"/>
      <c r="G456" s="20"/>
      <c r="H456" s="6"/>
      <c r="I456" s="6"/>
      <c r="Q456" s="18"/>
      <c r="S456" s="18"/>
      <c r="AL456" s="19"/>
      <c r="AW456" s="21"/>
    </row>
    <row r="457" spans="1:49" ht="13.2">
      <c r="A457" s="7"/>
      <c r="B457" s="7"/>
      <c r="G457" s="20"/>
      <c r="H457" s="6"/>
      <c r="I457" s="6"/>
      <c r="Q457" s="18"/>
      <c r="S457" s="18"/>
      <c r="AL457" s="19"/>
      <c r="AW457" s="21"/>
    </row>
    <row r="458" spans="1:49" ht="13.2">
      <c r="A458" s="7"/>
      <c r="B458" s="7"/>
      <c r="G458" s="20"/>
      <c r="H458" s="6"/>
      <c r="I458" s="6"/>
      <c r="Q458" s="18"/>
      <c r="S458" s="18"/>
      <c r="AL458" s="19"/>
      <c r="AW458" s="21"/>
    </row>
    <row r="459" spans="1:49" ht="13.2">
      <c r="A459" s="7"/>
      <c r="B459" s="7"/>
      <c r="G459" s="20"/>
      <c r="H459" s="6"/>
      <c r="I459" s="6"/>
      <c r="Q459" s="18"/>
      <c r="S459" s="18"/>
      <c r="AL459" s="19"/>
      <c r="AW459" s="21"/>
    </row>
    <row r="460" spans="1:49" ht="13.2">
      <c r="A460" s="7"/>
      <c r="B460" s="7"/>
      <c r="G460" s="20"/>
      <c r="H460" s="6"/>
      <c r="I460" s="6"/>
      <c r="Q460" s="18"/>
      <c r="S460" s="18"/>
      <c r="AL460" s="19"/>
      <c r="AW460" s="21"/>
    </row>
    <row r="461" spans="1:49" ht="13.2">
      <c r="A461" s="7"/>
      <c r="B461" s="7"/>
      <c r="G461" s="20"/>
      <c r="H461" s="6"/>
      <c r="I461" s="6"/>
      <c r="Q461" s="18"/>
      <c r="S461" s="18"/>
      <c r="AL461" s="19"/>
      <c r="AW461" s="21"/>
    </row>
    <row r="462" spans="1:49" ht="13.2">
      <c r="A462" s="7"/>
      <c r="B462" s="7"/>
      <c r="G462" s="20"/>
      <c r="H462" s="6"/>
      <c r="I462" s="6"/>
      <c r="Q462" s="18"/>
      <c r="S462" s="18"/>
      <c r="AL462" s="19"/>
      <c r="AW462" s="21"/>
    </row>
    <row r="463" spans="1:49" ht="13.2">
      <c r="A463" s="7"/>
      <c r="B463" s="7"/>
      <c r="G463" s="20"/>
      <c r="H463" s="6"/>
      <c r="I463" s="6"/>
      <c r="Q463" s="18"/>
      <c r="S463" s="18"/>
      <c r="AL463" s="19"/>
      <c r="AW463" s="21"/>
    </row>
    <row r="464" spans="1:49" ht="13.2">
      <c r="A464" s="7"/>
      <c r="B464" s="7"/>
      <c r="G464" s="20"/>
      <c r="H464" s="6"/>
      <c r="I464" s="6"/>
      <c r="Q464" s="18"/>
      <c r="S464" s="18"/>
      <c r="AL464" s="19"/>
      <c r="AW464" s="21"/>
    </row>
    <row r="465" spans="1:49" ht="13.2">
      <c r="A465" s="7"/>
      <c r="B465" s="7"/>
      <c r="G465" s="20"/>
      <c r="H465" s="6"/>
      <c r="I465" s="6"/>
      <c r="Q465" s="18"/>
      <c r="S465" s="18"/>
      <c r="AL465" s="19"/>
      <c r="AW465" s="21"/>
    </row>
    <row r="466" spans="1:49" ht="13.2">
      <c r="A466" s="7"/>
      <c r="B466" s="7"/>
      <c r="G466" s="20"/>
      <c r="H466" s="6"/>
      <c r="I466" s="6"/>
      <c r="Q466" s="18"/>
      <c r="S466" s="18"/>
      <c r="AL466" s="19"/>
      <c r="AW466" s="21"/>
    </row>
    <row r="467" spans="1:49" ht="13.2">
      <c r="A467" s="7"/>
      <c r="B467" s="7"/>
      <c r="G467" s="20"/>
      <c r="H467" s="6"/>
      <c r="I467" s="6"/>
      <c r="Q467" s="18"/>
      <c r="S467" s="18"/>
      <c r="AL467" s="19"/>
      <c r="AW467" s="21"/>
    </row>
    <row r="468" spans="1:49" ht="13.2">
      <c r="A468" s="7"/>
      <c r="B468" s="7"/>
      <c r="G468" s="20"/>
      <c r="H468" s="6"/>
      <c r="I468" s="6"/>
      <c r="Q468" s="18"/>
      <c r="S468" s="18"/>
      <c r="AL468" s="19"/>
      <c r="AW468" s="21"/>
    </row>
    <row r="469" spans="1:49" ht="13.2">
      <c r="A469" s="7"/>
      <c r="B469" s="7"/>
      <c r="G469" s="20"/>
      <c r="H469" s="6"/>
      <c r="I469" s="6"/>
      <c r="Q469" s="18"/>
      <c r="S469" s="18"/>
      <c r="AL469" s="19"/>
      <c r="AW469" s="21"/>
    </row>
    <row r="470" spans="1:49" ht="13.2">
      <c r="A470" s="7"/>
      <c r="B470" s="7"/>
      <c r="G470" s="20"/>
      <c r="H470" s="6"/>
      <c r="I470" s="6"/>
      <c r="Q470" s="18"/>
      <c r="S470" s="18"/>
      <c r="AL470" s="19"/>
      <c r="AW470" s="21"/>
    </row>
    <row r="471" spans="1:49" ht="13.2">
      <c r="A471" s="7"/>
      <c r="B471" s="7"/>
      <c r="G471" s="20"/>
      <c r="H471" s="6"/>
      <c r="I471" s="6"/>
      <c r="Q471" s="18"/>
      <c r="S471" s="18"/>
      <c r="AL471" s="19"/>
      <c r="AW471" s="21"/>
    </row>
    <row r="472" spans="1:49" ht="13.2">
      <c r="A472" s="7"/>
      <c r="B472" s="7"/>
      <c r="G472" s="20"/>
      <c r="H472" s="6"/>
      <c r="I472" s="6"/>
      <c r="Q472" s="18"/>
      <c r="S472" s="18"/>
      <c r="AL472" s="19"/>
      <c r="AW472" s="21"/>
    </row>
    <row r="473" spans="1:49" ht="13.2">
      <c r="A473" s="7"/>
      <c r="B473" s="7"/>
      <c r="G473" s="20"/>
      <c r="H473" s="6"/>
      <c r="I473" s="6"/>
      <c r="Q473" s="18"/>
      <c r="S473" s="18"/>
      <c r="AL473" s="19"/>
      <c r="AW473" s="21"/>
    </row>
    <row r="474" spans="1:49" ht="13.2">
      <c r="A474" s="7"/>
      <c r="B474" s="7"/>
      <c r="G474" s="20"/>
      <c r="H474" s="6"/>
      <c r="I474" s="6"/>
      <c r="Q474" s="18"/>
      <c r="S474" s="18"/>
      <c r="AL474" s="19"/>
      <c r="AW474" s="21"/>
    </row>
    <row r="475" spans="1:49" ht="13.2">
      <c r="A475" s="7"/>
      <c r="B475" s="7"/>
      <c r="G475" s="20"/>
      <c r="H475" s="6"/>
      <c r="I475" s="6"/>
      <c r="Q475" s="18"/>
      <c r="S475" s="18"/>
      <c r="AL475" s="19"/>
      <c r="AW475" s="21"/>
    </row>
    <row r="476" spans="1:49" ht="13.2">
      <c r="A476" s="7"/>
      <c r="B476" s="7"/>
      <c r="G476" s="20"/>
      <c r="H476" s="6"/>
      <c r="I476" s="6"/>
      <c r="Q476" s="18"/>
      <c r="S476" s="18"/>
      <c r="AL476" s="19"/>
      <c r="AW476" s="21"/>
    </row>
    <row r="477" spans="1:49" ht="13.2">
      <c r="A477" s="7"/>
      <c r="B477" s="7"/>
      <c r="G477" s="20"/>
      <c r="H477" s="6"/>
      <c r="I477" s="6"/>
      <c r="Q477" s="18"/>
      <c r="S477" s="18"/>
      <c r="AL477" s="19"/>
      <c r="AW477" s="21"/>
    </row>
    <row r="478" spans="1:49" ht="13.2">
      <c r="A478" s="7"/>
      <c r="B478" s="7"/>
      <c r="G478" s="20"/>
      <c r="H478" s="6"/>
      <c r="I478" s="6"/>
      <c r="Q478" s="18"/>
      <c r="S478" s="18"/>
      <c r="AL478" s="19"/>
      <c r="AW478" s="21"/>
    </row>
    <row r="479" spans="1:49" ht="13.2">
      <c r="A479" s="7"/>
      <c r="B479" s="7"/>
      <c r="G479" s="20"/>
      <c r="H479" s="6"/>
      <c r="I479" s="6"/>
      <c r="Q479" s="18"/>
      <c r="S479" s="18"/>
      <c r="AL479" s="19"/>
      <c r="AW479" s="21"/>
    </row>
    <row r="480" spans="1:49" ht="13.2">
      <c r="A480" s="7"/>
      <c r="B480" s="7"/>
      <c r="G480" s="20"/>
      <c r="H480" s="6"/>
      <c r="I480" s="6"/>
      <c r="Q480" s="18"/>
      <c r="S480" s="18"/>
      <c r="AL480" s="19"/>
      <c r="AW480" s="21"/>
    </row>
    <row r="481" spans="1:49" ht="13.2">
      <c r="A481" s="7"/>
      <c r="B481" s="7"/>
      <c r="G481" s="20"/>
      <c r="H481" s="6"/>
      <c r="I481" s="6"/>
      <c r="Q481" s="18"/>
      <c r="S481" s="18"/>
      <c r="AL481" s="19"/>
      <c r="AW481" s="21"/>
    </row>
    <row r="482" spans="1:49" ht="13.2">
      <c r="A482" s="7"/>
      <c r="B482" s="7"/>
      <c r="G482" s="20"/>
      <c r="H482" s="6"/>
      <c r="I482" s="6"/>
      <c r="Q482" s="18"/>
      <c r="S482" s="18"/>
      <c r="AL482" s="19"/>
      <c r="AW482" s="21"/>
    </row>
    <row r="483" spans="1:49" ht="13.2">
      <c r="A483" s="7"/>
      <c r="B483" s="7"/>
      <c r="G483" s="20"/>
      <c r="H483" s="6"/>
      <c r="I483" s="6"/>
      <c r="Q483" s="18"/>
      <c r="S483" s="18"/>
      <c r="AL483" s="19"/>
      <c r="AW483" s="21"/>
    </row>
    <row r="484" spans="1:49" ht="13.2">
      <c r="A484" s="7"/>
      <c r="B484" s="7"/>
      <c r="G484" s="20"/>
      <c r="H484" s="6"/>
      <c r="I484" s="6"/>
      <c r="Q484" s="18"/>
      <c r="S484" s="18"/>
      <c r="AL484" s="19"/>
      <c r="AW484" s="21"/>
    </row>
    <row r="485" spans="1:49" ht="13.2">
      <c r="A485" s="7"/>
      <c r="B485" s="7"/>
      <c r="G485" s="20"/>
      <c r="H485" s="6"/>
      <c r="I485" s="6"/>
      <c r="Q485" s="18"/>
      <c r="S485" s="18"/>
      <c r="AL485" s="19"/>
      <c r="AW485" s="21"/>
    </row>
    <row r="486" spans="1:49" ht="13.2">
      <c r="A486" s="7"/>
      <c r="B486" s="7"/>
      <c r="G486" s="20"/>
      <c r="H486" s="6"/>
      <c r="I486" s="6"/>
      <c r="Q486" s="18"/>
      <c r="S486" s="18"/>
      <c r="AL486" s="19"/>
      <c r="AW486" s="21"/>
    </row>
    <row r="487" spans="1:49" ht="13.2">
      <c r="A487" s="7"/>
      <c r="B487" s="7"/>
      <c r="G487" s="20"/>
      <c r="H487" s="6"/>
      <c r="I487" s="6"/>
      <c r="Q487" s="18"/>
      <c r="S487" s="18"/>
      <c r="AL487" s="19"/>
      <c r="AW487" s="21"/>
    </row>
    <row r="488" spans="1:49" ht="13.2">
      <c r="A488" s="7"/>
      <c r="B488" s="7"/>
      <c r="G488" s="20"/>
      <c r="H488" s="6"/>
      <c r="I488" s="6"/>
      <c r="Q488" s="18"/>
      <c r="S488" s="18"/>
      <c r="AL488" s="19"/>
      <c r="AW488" s="21"/>
    </row>
    <row r="489" spans="1:49" ht="13.2">
      <c r="A489" s="7"/>
      <c r="B489" s="7"/>
      <c r="G489" s="20"/>
      <c r="H489" s="6"/>
      <c r="I489" s="6"/>
      <c r="Q489" s="18"/>
      <c r="S489" s="18"/>
      <c r="AL489" s="19"/>
      <c r="AW489" s="21"/>
    </row>
    <row r="490" spans="1:49" ht="13.2">
      <c r="A490" s="7"/>
      <c r="B490" s="7"/>
      <c r="G490" s="20"/>
      <c r="H490" s="6"/>
      <c r="I490" s="6"/>
      <c r="Q490" s="18"/>
      <c r="S490" s="18"/>
      <c r="AL490" s="19"/>
      <c r="AW490" s="21"/>
    </row>
    <row r="491" spans="1:49" ht="13.2">
      <c r="A491" s="7"/>
      <c r="B491" s="7"/>
      <c r="G491" s="20"/>
      <c r="H491" s="6"/>
      <c r="I491" s="6"/>
      <c r="Q491" s="18"/>
      <c r="S491" s="18"/>
      <c r="AL491" s="19"/>
      <c r="AW491" s="21"/>
    </row>
    <row r="492" spans="1:49" ht="13.2">
      <c r="A492" s="7"/>
      <c r="B492" s="7"/>
      <c r="G492" s="20"/>
      <c r="H492" s="6"/>
      <c r="I492" s="6"/>
      <c r="Q492" s="18"/>
      <c r="S492" s="18"/>
      <c r="AL492" s="19"/>
      <c r="AW492" s="21"/>
    </row>
    <row r="493" spans="1:49" ht="13.2">
      <c r="A493" s="7"/>
      <c r="B493" s="7"/>
      <c r="G493" s="20"/>
      <c r="H493" s="6"/>
      <c r="I493" s="6"/>
      <c r="Q493" s="18"/>
      <c r="S493" s="18"/>
      <c r="AL493" s="19"/>
      <c r="AW493" s="21"/>
    </row>
    <row r="494" spans="1:49" ht="13.2">
      <c r="A494" s="7"/>
      <c r="B494" s="7"/>
      <c r="G494" s="20"/>
      <c r="H494" s="6"/>
      <c r="I494" s="6"/>
      <c r="Q494" s="18"/>
      <c r="S494" s="18"/>
      <c r="AL494" s="19"/>
      <c r="AW494" s="21"/>
    </row>
    <row r="495" spans="1:49" ht="13.2">
      <c r="A495" s="7"/>
      <c r="B495" s="7"/>
      <c r="G495" s="20"/>
      <c r="H495" s="6"/>
      <c r="I495" s="6"/>
      <c r="Q495" s="18"/>
      <c r="S495" s="18"/>
      <c r="AL495" s="19"/>
      <c r="AW495" s="21"/>
    </row>
    <row r="496" spans="1:49" ht="13.2">
      <c r="A496" s="7"/>
      <c r="B496" s="7"/>
      <c r="G496" s="20"/>
      <c r="H496" s="6"/>
      <c r="I496" s="6"/>
      <c r="Q496" s="18"/>
      <c r="S496" s="18"/>
      <c r="AL496" s="19"/>
      <c r="AW496" s="21"/>
    </row>
    <row r="497" spans="1:49" ht="13.2">
      <c r="A497" s="7"/>
      <c r="B497" s="7"/>
      <c r="G497" s="20"/>
      <c r="H497" s="6"/>
      <c r="I497" s="6"/>
      <c r="Q497" s="18"/>
      <c r="S497" s="18"/>
      <c r="AL497" s="19"/>
      <c r="AW497" s="21"/>
    </row>
    <row r="498" spans="1:49" ht="13.2">
      <c r="A498" s="7"/>
      <c r="B498" s="7"/>
      <c r="G498" s="20"/>
      <c r="H498" s="6"/>
      <c r="I498" s="6"/>
      <c r="Q498" s="18"/>
      <c r="S498" s="18"/>
      <c r="AL498" s="19"/>
      <c r="AW498" s="21"/>
    </row>
    <row r="499" spans="1:49" ht="13.2">
      <c r="A499" s="7"/>
      <c r="B499" s="7"/>
      <c r="G499" s="20"/>
      <c r="H499" s="6"/>
      <c r="I499" s="6"/>
      <c r="Q499" s="18"/>
      <c r="S499" s="18"/>
      <c r="AL499" s="19"/>
      <c r="AW499" s="21"/>
    </row>
    <row r="500" spans="1:49" ht="13.2">
      <c r="A500" s="7"/>
      <c r="B500" s="7"/>
      <c r="G500" s="20"/>
      <c r="H500" s="6"/>
      <c r="I500" s="6"/>
      <c r="Q500" s="18"/>
      <c r="S500" s="18"/>
      <c r="AL500" s="19"/>
      <c r="AW500" s="21"/>
    </row>
    <row r="501" spans="1:49" ht="13.2">
      <c r="A501" s="7"/>
      <c r="B501" s="7"/>
      <c r="G501" s="20"/>
      <c r="H501" s="6"/>
      <c r="I501" s="6"/>
      <c r="Q501" s="18"/>
      <c r="S501" s="18"/>
      <c r="AL501" s="19"/>
      <c r="AW501" s="21"/>
    </row>
    <row r="502" spans="1:49" ht="13.2">
      <c r="A502" s="7"/>
      <c r="B502" s="7"/>
      <c r="G502" s="20"/>
      <c r="H502" s="6"/>
      <c r="I502" s="6"/>
      <c r="Q502" s="18"/>
      <c r="S502" s="18"/>
      <c r="AL502" s="19"/>
      <c r="AW502" s="21"/>
    </row>
    <row r="503" spans="1:49" ht="13.2">
      <c r="A503" s="7"/>
      <c r="B503" s="7"/>
      <c r="G503" s="20"/>
      <c r="H503" s="6"/>
      <c r="I503" s="6"/>
      <c r="Q503" s="18"/>
      <c r="S503" s="18"/>
      <c r="AL503" s="19"/>
      <c r="AW503" s="21"/>
    </row>
    <row r="504" spans="1:49" ht="13.2">
      <c r="A504" s="7"/>
      <c r="B504" s="7"/>
      <c r="G504" s="20"/>
      <c r="H504" s="6"/>
      <c r="I504" s="6"/>
      <c r="Q504" s="18"/>
      <c r="S504" s="18"/>
      <c r="AL504" s="19"/>
      <c r="AW504" s="21"/>
    </row>
    <row r="505" spans="1:49" ht="13.2">
      <c r="A505" s="7"/>
      <c r="B505" s="7"/>
      <c r="G505" s="20"/>
      <c r="H505" s="6"/>
      <c r="I505" s="6"/>
      <c r="Q505" s="18"/>
      <c r="S505" s="18"/>
      <c r="AL505" s="19"/>
      <c r="AW505" s="21"/>
    </row>
    <row r="506" spans="1:49" ht="13.2">
      <c r="A506" s="7"/>
      <c r="B506" s="7"/>
      <c r="G506" s="20"/>
      <c r="H506" s="6"/>
      <c r="I506" s="6"/>
      <c r="Q506" s="18"/>
      <c r="S506" s="18"/>
      <c r="AL506" s="19"/>
      <c r="AW506" s="21"/>
    </row>
    <row r="507" spans="1:49" ht="13.2">
      <c r="A507" s="7"/>
      <c r="B507" s="7"/>
      <c r="G507" s="20"/>
      <c r="H507" s="6"/>
      <c r="I507" s="6"/>
      <c r="Q507" s="18"/>
      <c r="S507" s="18"/>
      <c r="AL507" s="19"/>
      <c r="AW507" s="21"/>
    </row>
    <row r="508" spans="1:49" ht="13.2">
      <c r="A508" s="7"/>
      <c r="B508" s="7"/>
      <c r="G508" s="20"/>
      <c r="H508" s="6"/>
      <c r="I508" s="6"/>
      <c r="Q508" s="18"/>
      <c r="S508" s="18"/>
      <c r="AL508" s="19"/>
      <c r="AW508" s="21"/>
    </row>
    <row r="509" spans="1:49" ht="13.2">
      <c r="A509" s="7"/>
      <c r="B509" s="7"/>
      <c r="G509" s="20"/>
      <c r="H509" s="6"/>
      <c r="I509" s="6"/>
      <c r="Q509" s="18"/>
      <c r="S509" s="18"/>
      <c r="AL509" s="19"/>
      <c r="AW509" s="21"/>
    </row>
    <row r="510" spans="1:49" ht="13.2">
      <c r="A510" s="7"/>
      <c r="B510" s="7"/>
      <c r="G510" s="20"/>
      <c r="H510" s="6"/>
      <c r="I510" s="6"/>
      <c r="Q510" s="18"/>
      <c r="S510" s="18"/>
      <c r="AL510" s="19"/>
      <c r="AW510" s="21"/>
    </row>
    <row r="511" spans="1:49" ht="13.2">
      <c r="A511" s="7"/>
      <c r="B511" s="7"/>
      <c r="G511" s="20"/>
      <c r="H511" s="6"/>
      <c r="I511" s="6"/>
      <c r="Q511" s="18"/>
      <c r="S511" s="18"/>
      <c r="AL511" s="19"/>
      <c r="AW511" s="21"/>
    </row>
    <row r="512" spans="1:49" ht="13.2">
      <c r="A512" s="7"/>
      <c r="B512" s="7"/>
      <c r="G512" s="20"/>
      <c r="H512" s="6"/>
      <c r="I512" s="6"/>
      <c r="Q512" s="18"/>
      <c r="S512" s="18"/>
      <c r="AL512" s="19"/>
      <c r="AW512" s="21"/>
    </row>
    <row r="513" spans="1:49" ht="13.2">
      <c r="A513" s="7"/>
      <c r="B513" s="7"/>
      <c r="G513" s="20"/>
      <c r="H513" s="6"/>
      <c r="I513" s="6"/>
      <c r="Q513" s="18"/>
      <c r="S513" s="18"/>
      <c r="AL513" s="19"/>
      <c r="AW513" s="21"/>
    </row>
    <row r="514" spans="1:49" ht="13.2">
      <c r="A514" s="7"/>
      <c r="B514" s="7"/>
      <c r="G514" s="20"/>
      <c r="H514" s="6"/>
      <c r="I514" s="6"/>
      <c r="Q514" s="18"/>
      <c r="S514" s="18"/>
      <c r="AL514" s="19"/>
      <c r="AW514" s="21"/>
    </row>
    <row r="515" spans="1:49" ht="13.2">
      <c r="A515" s="7"/>
      <c r="B515" s="7"/>
      <c r="G515" s="20"/>
      <c r="H515" s="6"/>
      <c r="I515" s="6"/>
      <c r="Q515" s="18"/>
      <c r="S515" s="18"/>
      <c r="AL515" s="19"/>
      <c r="AW515" s="21"/>
    </row>
    <row r="516" spans="1:49" ht="13.2">
      <c r="A516" s="7"/>
      <c r="B516" s="7"/>
      <c r="G516" s="20"/>
      <c r="H516" s="6"/>
      <c r="I516" s="6"/>
      <c r="Q516" s="18"/>
      <c r="S516" s="18"/>
      <c r="AL516" s="19"/>
      <c r="AW516" s="21"/>
    </row>
    <row r="517" spans="1:49" ht="13.2">
      <c r="A517" s="7"/>
      <c r="B517" s="7"/>
      <c r="G517" s="20"/>
      <c r="H517" s="6"/>
      <c r="I517" s="6"/>
      <c r="Q517" s="18"/>
      <c r="S517" s="18"/>
      <c r="AL517" s="19"/>
      <c r="AW517" s="21"/>
    </row>
    <row r="518" spans="1:49" ht="13.2">
      <c r="A518" s="7"/>
      <c r="B518" s="7"/>
      <c r="G518" s="20"/>
      <c r="H518" s="6"/>
      <c r="I518" s="6"/>
      <c r="Q518" s="18"/>
      <c r="S518" s="18"/>
      <c r="AL518" s="19"/>
      <c r="AW518" s="21"/>
    </row>
    <row r="519" spans="1:49" ht="13.2">
      <c r="A519" s="7"/>
      <c r="B519" s="7"/>
      <c r="G519" s="20"/>
      <c r="H519" s="6"/>
      <c r="I519" s="6"/>
      <c r="Q519" s="18"/>
      <c r="S519" s="18"/>
      <c r="AL519" s="19"/>
      <c r="AW519" s="21"/>
    </row>
    <row r="520" spans="1:49" ht="13.2">
      <c r="A520" s="7"/>
      <c r="B520" s="7"/>
      <c r="G520" s="20"/>
      <c r="H520" s="6"/>
      <c r="I520" s="6"/>
      <c r="Q520" s="18"/>
      <c r="S520" s="18"/>
      <c r="AL520" s="19"/>
      <c r="AW520" s="21"/>
    </row>
    <row r="521" spans="1:49" ht="13.2">
      <c r="A521" s="7"/>
      <c r="B521" s="7"/>
      <c r="G521" s="20"/>
      <c r="H521" s="6"/>
      <c r="I521" s="6"/>
      <c r="Q521" s="18"/>
      <c r="S521" s="18"/>
      <c r="AL521" s="19"/>
      <c r="AW521" s="21"/>
    </row>
    <row r="522" spans="1:49" ht="13.2">
      <c r="A522" s="7"/>
      <c r="B522" s="7"/>
      <c r="G522" s="20"/>
      <c r="H522" s="6"/>
      <c r="I522" s="6"/>
      <c r="Q522" s="18"/>
      <c r="S522" s="18"/>
      <c r="AL522" s="19"/>
      <c r="AW522" s="21"/>
    </row>
    <row r="523" spans="1:49" ht="13.2">
      <c r="A523" s="7"/>
      <c r="B523" s="7"/>
      <c r="G523" s="20"/>
      <c r="H523" s="6"/>
      <c r="I523" s="6"/>
      <c r="Q523" s="18"/>
      <c r="S523" s="18"/>
      <c r="AL523" s="19"/>
      <c r="AW523" s="21"/>
    </row>
    <row r="524" spans="1:49" ht="13.2">
      <c r="A524" s="7"/>
      <c r="B524" s="7"/>
      <c r="G524" s="20"/>
      <c r="H524" s="6"/>
      <c r="I524" s="6"/>
      <c r="Q524" s="18"/>
      <c r="S524" s="18"/>
      <c r="AL524" s="19"/>
      <c r="AW524" s="21"/>
    </row>
    <row r="525" spans="1:49" ht="13.2">
      <c r="A525" s="7"/>
      <c r="B525" s="7"/>
      <c r="G525" s="20"/>
      <c r="H525" s="6"/>
      <c r="I525" s="6"/>
      <c r="Q525" s="18"/>
      <c r="S525" s="18"/>
      <c r="AL525" s="19"/>
      <c r="AW525" s="21"/>
    </row>
    <row r="526" spans="1:49" ht="13.2">
      <c r="A526" s="7"/>
      <c r="B526" s="7"/>
      <c r="G526" s="20"/>
      <c r="H526" s="6"/>
      <c r="I526" s="6"/>
      <c r="Q526" s="18"/>
      <c r="S526" s="18"/>
      <c r="AL526" s="19"/>
      <c r="AW526" s="21"/>
    </row>
    <row r="527" spans="1:49" ht="13.2">
      <c r="A527" s="7"/>
      <c r="B527" s="7"/>
      <c r="G527" s="20"/>
      <c r="H527" s="6"/>
      <c r="I527" s="6"/>
      <c r="Q527" s="18"/>
      <c r="S527" s="18"/>
      <c r="AL527" s="19"/>
      <c r="AW527" s="21"/>
    </row>
    <row r="528" spans="1:49" ht="13.2">
      <c r="A528" s="7"/>
      <c r="B528" s="7"/>
      <c r="G528" s="20"/>
      <c r="H528" s="6"/>
      <c r="I528" s="6"/>
      <c r="Q528" s="18"/>
      <c r="S528" s="18"/>
      <c r="AL528" s="19"/>
      <c r="AW528" s="21"/>
    </row>
    <row r="529" spans="1:49" ht="13.2">
      <c r="A529" s="7"/>
      <c r="B529" s="7"/>
      <c r="G529" s="20"/>
      <c r="H529" s="6"/>
      <c r="I529" s="6"/>
      <c r="Q529" s="18"/>
      <c r="S529" s="18"/>
      <c r="AL529" s="19"/>
      <c r="AW529" s="21"/>
    </row>
    <row r="530" spans="1:49" ht="13.2">
      <c r="A530" s="7"/>
      <c r="B530" s="7"/>
      <c r="G530" s="20"/>
      <c r="H530" s="6"/>
      <c r="I530" s="6"/>
      <c r="Q530" s="18"/>
      <c r="S530" s="18"/>
      <c r="AL530" s="19"/>
      <c r="AW530" s="21"/>
    </row>
    <row r="531" spans="1:49" ht="13.2">
      <c r="A531" s="7"/>
      <c r="B531" s="7"/>
      <c r="G531" s="20"/>
      <c r="H531" s="6"/>
      <c r="I531" s="6"/>
      <c r="Q531" s="18"/>
      <c r="S531" s="18"/>
      <c r="AL531" s="19"/>
      <c r="AW531" s="21"/>
    </row>
    <row r="532" spans="1:49" ht="13.2">
      <c r="A532" s="7"/>
      <c r="B532" s="7"/>
      <c r="G532" s="20"/>
      <c r="H532" s="6"/>
      <c r="I532" s="6"/>
      <c r="Q532" s="18"/>
      <c r="S532" s="18"/>
      <c r="AL532" s="19"/>
      <c r="AW532" s="21"/>
    </row>
    <row r="533" spans="1:49" ht="13.2">
      <c r="A533" s="7"/>
      <c r="B533" s="7"/>
      <c r="G533" s="20"/>
      <c r="H533" s="6"/>
      <c r="I533" s="6"/>
      <c r="Q533" s="18"/>
      <c r="S533" s="18"/>
      <c r="AL533" s="19"/>
      <c r="AW533" s="21"/>
    </row>
    <row r="534" spans="1:49" ht="13.2">
      <c r="A534" s="7"/>
      <c r="B534" s="7"/>
      <c r="G534" s="20"/>
      <c r="H534" s="6"/>
      <c r="I534" s="6"/>
      <c r="Q534" s="18"/>
      <c r="S534" s="18"/>
      <c r="AL534" s="19"/>
      <c r="AW534" s="21"/>
    </row>
    <row r="535" spans="1:49" ht="13.2">
      <c r="A535" s="7"/>
      <c r="B535" s="7"/>
      <c r="G535" s="20"/>
      <c r="H535" s="6"/>
      <c r="I535" s="6"/>
      <c r="Q535" s="18"/>
      <c r="S535" s="18"/>
      <c r="AL535" s="19"/>
      <c r="AW535" s="21"/>
    </row>
    <row r="536" spans="1:49" ht="13.2">
      <c r="A536" s="7"/>
      <c r="B536" s="7"/>
      <c r="G536" s="20"/>
      <c r="H536" s="6"/>
      <c r="I536" s="6"/>
      <c r="Q536" s="18"/>
      <c r="S536" s="18"/>
      <c r="AL536" s="19"/>
      <c r="AW536" s="21"/>
    </row>
    <row r="537" spans="1:49" ht="13.2">
      <c r="A537" s="7"/>
      <c r="B537" s="7"/>
      <c r="G537" s="20"/>
      <c r="H537" s="6"/>
      <c r="I537" s="6"/>
      <c r="Q537" s="18"/>
      <c r="S537" s="18"/>
      <c r="AL537" s="19"/>
      <c r="AW537" s="21"/>
    </row>
    <row r="538" spans="1:49" ht="13.2">
      <c r="A538" s="7"/>
      <c r="B538" s="7"/>
      <c r="G538" s="20"/>
      <c r="H538" s="6"/>
      <c r="I538" s="6"/>
      <c r="Q538" s="18"/>
      <c r="S538" s="18"/>
      <c r="AL538" s="19"/>
      <c r="AW538" s="21"/>
    </row>
    <row r="539" spans="1:49" ht="13.2">
      <c r="A539" s="7"/>
      <c r="B539" s="7"/>
      <c r="G539" s="20"/>
      <c r="H539" s="6"/>
      <c r="I539" s="6"/>
      <c r="Q539" s="18"/>
      <c r="S539" s="18"/>
      <c r="AL539" s="19"/>
      <c r="AW539" s="21"/>
    </row>
    <row r="540" spans="1:49" ht="13.2">
      <c r="A540" s="7"/>
      <c r="B540" s="7"/>
      <c r="G540" s="20"/>
      <c r="H540" s="6"/>
      <c r="I540" s="6"/>
      <c r="Q540" s="18"/>
      <c r="S540" s="18"/>
      <c r="AL540" s="19"/>
      <c r="AW540" s="21"/>
    </row>
    <row r="541" spans="1:49" ht="13.2">
      <c r="A541" s="7"/>
      <c r="B541" s="7"/>
      <c r="G541" s="20"/>
      <c r="H541" s="6"/>
      <c r="I541" s="6"/>
      <c r="Q541" s="18"/>
      <c r="S541" s="18"/>
      <c r="AL541" s="19"/>
      <c r="AW541" s="21"/>
    </row>
    <row r="542" spans="1:49" ht="13.2">
      <c r="A542" s="7"/>
      <c r="B542" s="7"/>
      <c r="G542" s="20"/>
      <c r="H542" s="6"/>
      <c r="I542" s="6"/>
      <c r="Q542" s="18"/>
      <c r="S542" s="18"/>
      <c r="AL542" s="19"/>
      <c r="AW542" s="21"/>
    </row>
    <row r="543" spans="1:49" ht="13.2">
      <c r="A543" s="7"/>
      <c r="B543" s="7"/>
      <c r="G543" s="20"/>
      <c r="H543" s="6"/>
      <c r="I543" s="6"/>
      <c r="Q543" s="18"/>
      <c r="S543" s="18"/>
      <c r="AL543" s="19"/>
      <c r="AW543" s="21"/>
    </row>
    <row r="544" spans="1:49" ht="13.2">
      <c r="A544" s="7"/>
      <c r="B544" s="7"/>
      <c r="G544" s="20"/>
      <c r="H544" s="6"/>
      <c r="I544" s="6"/>
      <c r="Q544" s="18"/>
      <c r="S544" s="18"/>
      <c r="AL544" s="19"/>
      <c r="AW544" s="21"/>
    </row>
    <row r="545" spans="1:49" ht="13.2">
      <c r="A545" s="7"/>
      <c r="B545" s="7"/>
      <c r="G545" s="20"/>
      <c r="H545" s="6"/>
      <c r="I545" s="6"/>
      <c r="Q545" s="18"/>
      <c r="S545" s="18"/>
      <c r="AL545" s="19"/>
      <c r="AW545" s="21"/>
    </row>
    <row r="546" spans="1:49" ht="13.2">
      <c r="A546" s="7"/>
      <c r="B546" s="7"/>
      <c r="G546" s="20"/>
      <c r="H546" s="6"/>
      <c r="I546" s="6"/>
      <c r="Q546" s="18"/>
      <c r="S546" s="18"/>
      <c r="AL546" s="19"/>
      <c r="AW546" s="21"/>
    </row>
    <row r="547" spans="1:49" ht="13.2">
      <c r="A547" s="7"/>
      <c r="B547" s="7"/>
      <c r="G547" s="20"/>
      <c r="H547" s="6"/>
      <c r="I547" s="6"/>
      <c r="Q547" s="18"/>
      <c r="S547" s="18"/>
      <c r="AL547" s="19"/>
      <c r="AW547" s="21"/>
    </row>
    <row r="548" spans="1:49" ht="13.2">
      <c r="A548" s="7"/>
      <c r="B548" s="7"/>
      <c r="G548" s="20"/>
      <c r="H548" s="6"/>
      <c r="I548" s="6"/>
      <c r="Q548" s="18"/>
      <c r="S548" s="18"/>
      <c r="AL548" s="19"/>
      <c r="AW548" s="21"/>
    </row>
    <row r="549" spans="1:49" ht="13.2">
      <c r="A549" s="7"/>
      <c r="B549" s="7"/>
      <c r="G549" s="20"/>
      <c r="H549" s="6"/>
      <c r="I549" s="6"/>
      <c r="Q549" s="18"/>
      <c r="S549" s="18"/>
      <c r="AL549" s="19"/>
      <c r="AW549" s="21"/>
    </row>
    <row r="550" spans="1:49" ht="13.2">
      <c r="A550" s="7"/>
      <c r="B550" s="7"/>
      <c r="G550" s="20"/>
      <c r="H550" s="6"/>
      <c r="I550" s="6"/>
      <c r="Q550" s="18"/>
      <c r="S550" s="18"/>
      <c r="AL550" s="19"/>
      <c r="AW550" s="21"/>
    </row>
    <row r="551" spans="1:49" ht="13.2">
      <c r="A551" s="7"/>
      <c r="B551" s="7"/>
      <c r="G551" s="20"/>
      <c r="H551" s="6"/>
      <c r="I551" s="6"/>
      <c r="Q551" s="18"/>
      <c r="S551" s="18"/>
      <c r="AL551" s="19"/>
      <c r="AW551" s="21"/>
    </row>
    <row r="552" spans="1:49" ht="13.2">
      <c r="A552" s="7"/>
      <c r="B552" s="7"/>
      <c r="G552" s="20"/>
      <c r="H552" s="6"/>
      <c r="I552" s="6"/>
      <c r="Q552" s="18"/>
      <c r="S552" s="18"/>
      <c r="AL552" s="19"/>
      <c r="AW552" s="21"/>
    </row>
    <row r="553" spans="1:49" ht="13.2">
      <c r="A553" s="7"/>
      <c r="B553" s="7"/>
      <c r="G553" s="20"/>
      <c r="H553" s="6"/>
      <c r="I553" s="6"/>
      <c r="Q553" s="18"/>
      <c r="S553" s="18"/>
      <c r="AL553" s="19"/>
      <c r="AW553" s="21"/>
    </row>
    <row r="554" spans="1:49" ht="13.2">
      <c r="A554" s="7"/>
      <c r="B554" s="7"/>
      <c r="G554" s="20"/>
      <c r="H554" s="6"/>
      <c r="I554" s="6"/>
      <c r="Q554" s="18"/>
      <c r="S554" s="18"/>
      <c r="AL554" s="19"/>
      <c r="AW554" s="21"/>
    </row>
    <row r="555" spans="1:49" ht="13.2">
      <c r="A555" s="7"/>
      <c r="B555" s="7"/>
      <c r="G555" s="20"/>
      <c r="H555" s="6"/>
      <c r="I555" s="6"/>
      <c r="Q555" s="18"/>
      <c r="S555" s="18"/>
      <c r="AL555" s="19"/>
      <c r="AW555" s="21"/>
    </row>
    <row r="556" spans="1:49" ht="13.2">
      <c r="A556" s="7"/>
      <c r="B556" s="7"/>
      <c r="G556" s="20"/>
      <c r="H556" s="6"/>
      <c r="I556" s="6"/>
      <c r="Q556" s="18"/>
      <c r="S556" s="18"/>
      <c r="AL556" s="19"/>
      <c r="AW556" s="21"/>
    </row>
    <row r="557" spans="1:49" ht="13.2">
      <c r="A557" s="7"/>
      <c r="B557" s="7"/>
      <c r="G557" s="20"/>
      <c r="H557" s="6"/>
      <c r="I557" s="6"/>
      <c r="Q557" s="18"/>
      <c r="S557" s="18"/>
      <c r="AL557" s="19"/>
      <c r="AW557" s="21"/>
    </row>
    <row r="558" spans="1:49" ht="13.2">
      <c r="A558" s="7"/>
      <c r="B558" s="7"/>
      <c r="G558" s="20"/>
      <c r="H558" s="6"/>
      <c r="I558" s="6"/>
      <c r="Q558" s="18"/>
      <c r="S558" s="18"/>
      <c r="AL558" s="19"/>
      <c r="AW558" s="21"/>
    </row>
    <row r="559" spans="1:49" ht="13.2">
      <c r="A559" s="7"/>
      <c r="B559" s="7"/>
      <c r="G559" s="20"/>
      <c r="H559" s="6"/>
      <c r="I559" s="6"/>
      <c r="Q559" s="18"/>
      <c r="S559" s="18"/>
      <c r="AL559" s="19"/>
      <c r="AW559" s="21"/>
    </row>
    <row r="560" spans="1:49" ht="13.2">
      <c r="A560" s="7"/>
      <c r="B560" s="7"/>
      <c r="G560" s="20"/>
      <c r="H560" s="6"/>
      <c r="I560" s="6"/>
      <c r="Q560" s="18"/>
      <c r="S560" s="18"/>
      <c r="AL560" s="19"/>
      <c r="AW560" s="21"/>
    </row>
    <row r="561" spans="1:49" ht="13.2">
      <c r="A561" s="7"/>
      <c r="B561" s="7"/>
      <c r="G561" s="20"/>
      <c r="H561" s="6"/>
      <c r="I561" s="6"/>
      <c r="Q561" s="18"/>
      <c r="S561" s="18"/>
      <c r="AL561" s="19"/>
      <c r="AW561" s="21"/>
    </row>
    <row r="562" spans="1:49" ht="13.2">
      <c r="A562" s="7"/>
      <c r="B562" s="7"/>
      <c r="G562" s="20"/>
      <c r="H562" s="6"/>
      <c r="I562" s="6"/>
      <c r="Q562" s="18"/>
      <c r="S562" s="18"/>
      <c r="AL562" s="19"/>
      <c r="AW562" s="21"/>
    </row>
    <row r="563" spans="1:49" ht="13.2">
      <c r="A563" s="7"/>
      <c r="B563" s="7"/>
      <c r="G563" s="20"/>
      <c r="H563" s="6"/>
      <c r="I563" s="6"/>
      <c r="Q563" s="18"/>
      <c r="S563" s="18"/>
      <c r="AL563" s="19"/>
      <c r="AW563" s="21"/>
    </row>
    <row r="564" spans="1:49" ht="13.2">
      <c r="A564" s="7"/>
      <c r="B564" s="7"/>
      <c r="G564" s="20"/>
      <c r="H564" s="6"/>
      <c r="I564" s="6"/>
      <c r="Q564" s="18"/>
      <c r="S564" s="18"/>
      <c r="AL564" s="19"/>
      <c r="AW564" s="21"/>
    </row>
    <row r="565" spans="1:49" ht="13.2">
      <c r="A565" s="7"/>
      <c r="B565" s="7"/>
      <c r="G565" s="20"/>
      <c r="H565" s="6"/>
      <c r="I565" s="6"/>
      <c r="Q565" s="18"/>
      <c r="S565" s="18"/>
      <c r="AL565" s="19"/>
      <c r="AW565" s="21"/>
    </row>
    <row r="566" spans="1:49" ht="13.2">
      <c r="A566" s="7"/>
      <c r="B566" s="7"/>
      <c r="G566" s="20"/>
      <c r="H566" s="6"/>
      <c r="I566" s="6"/>
      <c r="Q566" s="18"/>
      <c r="S566" s="18"/>
      <c r="AL566" s="19"/>
      <c r="AW566" s="21"/>
    </row>
    <row r="567" spans="1:49" ht="13.2">
      <c r="A567" s="7"/>
      <c r="B567" s="7"/>
      <c r="G567" s="20"/>
      <c r="H567" s="6"/>
      <c r="I567" s="6"/>
      <c r="Q567" s="18"/>
      <c r="S567" s="18"/>
      <c r="AL567" s="19"/>
      <c r="AW567" s="21"/>
    </row>
    <row r="568" spans="1:49" ht="13.2">
      <c r="A568" s="7"/>
      <c r="B568" s="7"/>
      <c r="G568" s="20"/>
      <c r="H568" s="6"/>
      <c r="I568" s="6"/>
      <c r="Q568" s="18"/>
      <c r="S568" s="18"/>
      <c r="AL568" s="19"/>
      <c r="AW568" s="21"/>
    </row>
    <row r="569" spans="1:49" ht="13.2">
      <c r="A569" s="7"/>
      <c r="B569" s="7"/>
      <c r="G569" s="20"/>
      <c r="H569" s="6"/>
      <c r="I569" s="6"/>
      <c r="Q569" s="18"/>
      <c r="S569" s="18"/>
      <c r="AL569" s="19"/>
      <c r="AW569" s="21"/>
    </row>
    <row r="570" spans="1:49" ht="13.2">
      <c r="A570" s="7"/>
      <c r="B570" s="7"/>
      <c r="G570" s="20"/>
      <c r="H570" s="6"/>
      <c r="I570" s="6"/>
      <c r="Q570" s="18"/>
      <c r="S570" s="18"/>
      <c r="AL570" s="19"/>
      <c r="AW570" s="21"/>
    </row>
    <row r="571" spans="1:49" ht="13.2">
      <c r="A571" s="7"/>
      <c r="B571" s="7"/>
      <c r="G571" s="20"/>
      <c r="H571" s="6"/>
      <c r="I571" s="6"/>
      <c r="Q571" s="18"/>
      <c r="S571" s="18"/>
      <c r="AL571" s="19"/>
      <c r="AW571" s="21"/>
    </row>
    <row r="572" spans="1:49" ht="13.2">
      <c r="A572" s="7"/>
      <c r="B572" s="7"/>
      <c r="G572" s="20"/>
      <c r="H572" s="6"/>
      <c r="I572" s="6"/>
      <c r="Q572" s="18"/>
      <c r="S572" s="18"/>
      <c r="AL572" s="19"/>
      <c r="AW572" s="21"/>
    </row>
    <row r="573" spans="1:49" ht="13.2">
      <c r="A573" s="7"/>
      <c r="B573" s="7"/>
      <c r="G573" s="20"/>
      <c r="H573" s="6"/>
      <c r="I573" s="6"/>
      <c r="Q573" s="18"/>
      <c r="S573" s="18"/>
      <c r="AL573" s="19"/>
      <c r="AW573" s="21"/>
    </row>
    <row r="574" spans="1:49" ht="13.2">
      <c r="A574" s="7"/>
      <c r="B574" s="7"/>
      <c r="G574" s="20"/>
      <c r="H574" s="6"/>
      <c r="I574" s="6"/>
      <c r="Q574" s="18"/>
      <c r="S574" s="18"/>
      <c r="AL574" s="19"/>
      <c r="AW574" s="21"/>
    </row>
    <row r="575" spans="1:49" ht="13.2">
      <c r="A575" s="7"/>
      <c r="B575" s="7"/>
      <c r="G575" s="20"/>
      <c r="H575" s="6"/>
      <c r="I575" s="6"/>
      <c r="Q575" s="18"/>
      <c r="S575" s="18"/>
      <c r="AL575" s="19"/>
      <c r="AW575" s="21"/>
    </row>
    <row r="576" spans="1:49" ht="13.2">
      <c r="A576" s="7"/>
      <c r="B576" s="7"/>
      <c r="G576" s="20"/>
      <c r="H576" s="6"/>
      <c r="I576" s="6"/>
      <c r="Q576" s="18"/>
      <c r="S576" s="18"/>
      <c r="AL576" s="19"/>
      <c r="AW576" s="21"/>
    </row>
    <row r="577" spans="1:49" ht="13.2">
      <c r="A577" s="7"/>
      <c r="B577" s="7"/>
      <c r="G577" s="20"/>
      <c r="H577" s="6"/>
      <c r="I577" s="6"/>
      <c r="Q577" s="18"/>
      <c r="S577" s="18"/>
      <c r="AL577" s="19"/>
      <c r="AW577" s="21"/>
    </row>
    <row r="578" spans="1:49" ht="13.2">
      <c r="A578" s="7"/>
      <c r="B578" s="7"/>
      <c r="G578" s="20"/>
      <c r="H578" s="6"/>
      <c r="I578" s="6"/>
      <c r="Q578" s="18"/>
      <c r="S578" s="18"/>
      <c r="AL578" s="19"/>
      <c r="AW578" s="21"/>
    </row>
    <row r="579" spans="1:49" ht="13.2">
      <c r="A579" s="7"/>
      <c r="B579" s="7"/>
      <c r="G579" s="20"/>
      <c r="H579" s="6"/>
      <c r="I579" s="6"/>
      <c r="Q579" s="18"/>
      <c r="S579" s="18"/>
      <c r="AL579" s="19"/>
      <c r="AW579" s="21"/>
    </row>
    <row r="580" spans="1:49" ht="13.2">
      <c r="A580" s="7"/>
      <c r="B580" s="7"/>
      <c r="G580" s="20"/>
      <c r="H580" s="6"/>
      <c r="I580" s="6"/>
      <c r="Q580" s="18"/>
      <c r="S580" s="18"/>
      <c r="AL580" s="19"/>
      <c r="AW580" s="21"/>
    </row>
    <row r="581" spans="1:49" ht="13.2">
      <c r="A581" s="7"/>
      <c r="B581" s="7"/>
      <c r="G581" s="20"/>
      <c r="H581" s="6"/>
      <c r="I581" s="6"/>
      <c r="Q581" s="18"/>
      <c r="S581" s="18"/>
      <c r="AL581" s="19"/>
      <c r="AW581" s="21"/>
    </row>
    <row r="582" spans="1:49" ht="13.2">
      <c r="A582" s="7"/>
      <c r="B582" s="7"/>
      <c r="G582" s="20"/>
      <c r="H582" s="6"/>
      <c r="I582" s="6"/>
      <c r="Q582" s="18"/>
      <c r="S582" s="18"/>
      <c r="AL582" s="19"/>
      <c r="AW582" s="21"/>
    </row>
    <row r="583" spans="1:49" ht="13.2">
      <c r="A583" s="7"/>
      <c r="B583" s="7"/>
      <c r="G583" s="20"/>
      <c r="H583" s="6"/>
      <c r="I583" s="6"/>
      <c r="Q583" s="18"/>
      <c r="S583" s="18"/>
      <c r="AL583" s="19"/>
      <c r="AW583" s="21"/>
    </row>
    <row r="584" spans="1:49" ht="13.2">
      <c r="A584" s="7"/>
      <c r="B584" s="7"/>
      <c r="G584" s="20"/>
      <c r="H584" s="6"/>
      <c r="I584" s="6"/>
      <c r="Q584" s="18"/>
      <c r="S584" s="18"/>
      <c r="AL584" s="19"/>
      <c r="AW584" s="21"/>
    </row>
    <row r="585" spans="1:49" ht="13.2">
      <c r="A585" s="7"/>
      <c r="B585" s="7"/>
      <c r="G585" s="20"/>
      <c r="H585" s="6"/>
      <c r="I585" s="6"/>
      <c r="Q585" s="18"/>
      <c r="S585" s="18"/>
      <c r="AL585" s="19"/>
      <c r="AW585" s="21"/>
    </row>
    <row r="586" spans="1:49" ht="13.2">
      <c r="A586" s="7"/>
      <c r="B586" s="7"/>
      <c r="G586" s="20"/>
      <c r="H586" s="6"/>
      <c r="I586" s="6"/>
      <c r="Q586" s="18"/>
      <c r="S586" s="18"/>
      <c r="AL586" s="19"/>
      <c r="AW586" s="21"/>
    </row>
    <row r="587" spans="1:49" ht="13.2">
      <c r="A587" s="7"/>
      <c r="B587" s="7"/>
      <c r="G587" s="20"/>
      <c r="H587" s="6"/>
      <c r="I587" s="6"/>
      <c r="Q587" s="18"/>
      <c r="S587" s="18"/>
      <c r="AL587" s="19"/>
      <c r="AW587" s="21"/>
    </row>
    <row r="588" spans="1:49" ht="13.2">
      <c r="A588" s="7"/>
      <c r="B588" s="7"/>
      <c r="G588" s="20"/>
      <c r="H588" s="6"/>
      <c r="I588" s="6"/>
      <c r="Q588" s="18"/>
      <c r="S588" s="18"/>
      <c r="AL588" s="19"/>
      <c r="AW588" s="21"/>
    </row>
    <row r="589" spans="1:49" ht="13.2">
      <c r="A589" s="7"/>
      <c r="B589" s="7"/>
      <c r="G589" s="20"/>
      <c r="H589" s="6"/>
      <c r="I589" s="6"/>
      <c r="Q589" s="18"/>
      <c r="S589" s="18"/>
      <c r="AL589" s="19"/>
      <c r="AW589" s="21"/>
    </row>
    <row r="590" spans="1:49" ht="13.2">
      <c r="A590" s="7"/>
      <c r="B590" s="7"/>
      <c r="G590" s="20"/>
      <c r="H590" s="6"/>
      <c r="I590" s="6"/>
      <c r="Q590" s="18"/>
      <c r="S590" s="18"/>
      <c r="AL590" s="19"/>
      <c r="AW590" s="21"/>
    </row>
    <row r="591" spans="1:49" ht="13.2">
      <c r="A591" s="7"/>
      <c r="B591" s="7"/>
      <c r="G591" s="20"/>
      <c r="H591" s="6"/>
      <c r="I591" s="6"/>
      <c r="Q591" s="18"/>
      <c r="S591" s="18"/>
      <c r="AL591" s="19"/>
      <c r="AW591" s="21"/>
    </row>
    <row r="592" spans="1:49" ht="13.2">
      <c r="A592" s="7"/>
      <c r="B592" s="7"/>
      <c r="G592" s="20"/>
      <c r="H592" s="6"/>
      <c r="I592" s="6"/>
      <c r="Q592" s="18"/>
      <c r="S592" s="18"/>
      <c r="AL592" s="19"/>
      <c r="AW592" s="21"/>
    </row>
    <row r="593" spans="1:49" ht="13.2">
      <c r="A593" s="7"/>
      <c r="B593" s="7"/>
      <c r="G593" s="20"/>
      <c r="H593" s="6"/>
      <c r="I593" s="6"/>
      <c r="Q593" s="18"/>
      <c r="S593" s="18"/>
      <c r="AL593" s="19"/>
      <c r="AW593" s="21"/>
    </row>
    <row r="594" spans="1:49" ht="13.2">
      <c r="A594" s="7"/>
      <c r="B594" s="7"/>
      <c r="G594" s="20"/>
      <c r="H594" s="6"/>
      <c r="I594" s="6"/>
      <c r="Q594" s="18"/>
      <c r="S594" s="18"/>
      <c r="AL594" s="19"/>
      <c r="AW594" s="21"/>
    </row>
    <row r="595" spans="1:49" ht="13.2">
      <c r="A595" s="7"/>
      <c r="B595" s="7"/>
      <c r="G595" s="20"/>
      <c r="H595" s="6"/>
      <c r="I595" s="6"/>
      <c r="Q595" s="18"/>
      <c r="S595" s="18"/>
      <c r="AL595" s="19"/>
      <c r="AW595" s="21"/>
    </row>
    <row r="596" spans="1:49" ht="13.2">
      <c r="A596" s="7"/>
      <c r="B596" s="7"/>
      <c r="G596" s="20"/>
      <c r="H596" s="6"/>
      <c r="I596" s="6"/>
      <c r="Q596" s="18"/>
      <c r="S596" s="18"/>
      <c r="AL596" s="19"/>
      <c r="AW596" s="21"/>
    </row>
    <row r="597" spans="1:49" ht="13.2">
      <c r="A597" s="7"/>
      <c r="B597" s="7"/>
      <c r="G597" s="20"/>
      <c r="H597" s="6"/>
      <c r="I597" s="6"/>
      <c r="Q597" s="18"/>
      <c r="S597" s="18"/>
      <c r="AL597" s="19"/>
      <c r="AW597" s="21"/>
    </row>
    <row r="598" spans="1:49" ht="13.2">
      <c r="A598" s="7"/>
      <c r="B598" s="7"/>
      <c r="G598" s="20"/>
      <c r="H598" s="6"/>
      <c r="I598" s="6"/>
      <c r="Q598" s="18"/>
      <c r="S598" s="18"/>
      <c r="AL598" s="19"/>
      <c r="AW598" s="21"/>
    </row>
    <row r="599" spans="1:49" ht="13.2">
      <c r="A599" s="7"/>
      <c r="B599" s="7"/>
      <c r="G599" s="20"/>
      <c r="H599" s="6"/>
      <c r="I599" s="6"/>
      <c r="Q599" s="18"/>
      <c r="S599" s="18"/>
      <c r="AL599" s="19"/>
      <c r="AW599" s="21"/>
    </row>
    <row r="600" spans="1:49" ht="13.2">
      <c r="A600" s="7"/>
      <c r="B600" s="7"/>
      <c r="G600" s="20"/>
      <c r="H600" s="6"/>
      <c r="I600" s="6"/>
      <c r="Q600" s="18"/>
      <c r="S600" s="18"/>
      <c r="AL600" s="19"/>
      <c r="AW600" s="21"/>
    </row>
    <row r="601" spans="1:49" ht="13.2">
      <c r="A601" s="7"/>
      <c r="B601" s="7"/>
      <c r="G601" s="20"/>
      <c r="H601" s="6"/>
      <c r="I601" s="6"/>
      <c r="Q601" s="18"/>
      <c r="S601" s="18"/>
      <c r="AL601" s="19"/>
      <c r="AW601" s="21"/>
    </row>
    <row r="602" spans="1:49" ht="13.2">
      <c r="A602" s="7"/>
      <c r="B602" s="7"/>
      <c r="G602" s="20"/>
      <c r="H602" s="6"/>
      <c r="I602" s="6"/>
      <c r="Q602" s="18"/>
      <c r="S602" s="18"/>
      <c r="AL602" s="19"/>
      <c r="AW602" s="21"/>
    </row>
    <row r="603" spans="1:49" ht="13.2">
      <c r="A603" s="7"/>
      <c r="B603" s="7"/>
      <c r="G603" s="20"/>
      <c r="H603" s="6"/>
      <c r="I603" s="6"/>
      <c r="Q603" s="18"/>
      <c r="S603" s="18"/>
      <c r="AL603" s="19"/>
      <c r="AW603" s="21"/>
    </row>
    <row r="604" spans="1:49" ht="13.2">
      <c r="A604" s="7"/>
      <c r="B604" s="7"/>
      <c r="G604" s="20"/>
      <c r="H604" s="6"/>
      <c r="I604" s="6"/>
      <c r="Q604" s="18"/>
      <c r="S604" s="18"/>
      <c r="AL604" s="19"/>
      <c r="AW604" s="21"/>
    </row>
    <row r="605" spans="1:49" ht="13.2">
      <c r="A605" s="7"/>
      <c r="B605" s="7"/>
      <c r="G605" s="20"/>
      <c r="H605" s="6"/>
      <c r="I605" s="6"/>
      <c r="Q605" s="18"/>
      <c r="S605" s="18"/>
      <c r="AL605" s="19"/>
      <c r="AW605" s="21"/>
    </row>
    <row r="606" spans="1:49" ht="13.2">
      <c r="A606" s="7"/>
      <c r="B606" s="7"/>
      <c r="G606" s="20"/>
      <c r="H606" s="6"/>
      <c r="I606" s="6"/>
      <c r="Q606" s="18"/>
      <c r="S606" s="18"/>
      <c r="AL606" s="19"/>
      <c r="AW606" s="21"/>
    </row>
    <row r="607" spans="1:49" ht="13.2">
      <c r="A607" s="7"/>
      <c r="B607" s="7"/>
      <c r="G607" s="20"/>
      <c r="H607" s="6"/>
      <c r="I607" s="6"/>
      <c r="Q607" s="18"/>
      <c r="S607" s="18"/>
      <c r="AL607" s="19"/>
      <c r="AW607" s="21"/>
    </row>
    <row r="608" spans="1:49" ht="13.2">
      <c r="A608" s="7"/>
      <c r="B608" s="7"/>
      <c r="G608" s="20"/>
      <c r="H608" s="6"/>
      <c r="I608" s="6"/>
      <c r="Q608" s="18"/>
      <c r="S608" s="18"/>
      <c r="AL608" s="19"/>
      <c r="AW608" s="21"/>
    </row>
    <row r="609" spans="1:49" ht="13.2">
      <c r="A609" s="7"/>
      <c r="B609" s="7"/>
      <c r="G609" s="20"/>
      <c r="H609" s="6"/>
      <c r="I609" s="6"/>
      <c r="Q609" s="18"/>
      <c r="S609" s="18"/>
      <c r="AL609" s="19"/>
      <c r="AW609" s="21"/>
    </row>
    <row r="610" spans="1:49" ht="13.2">
      <c r="A610" s="7"/>
      <c r="B610" s="7"/>
      <c r="G610" s="20"/>
      <c r="H610" s="6"/>
      <c r="I610" s="6"/>
      <c r="Q610" s="18"/>
      <c r="S610" s="18"/>
      <c r="AL610" s="19"/>
      <c r="AW610" s="21"/>
    </row>
    <row r="611" spans="1:49" ht="13.2">
      <c r="A611" s="7"/>
      <c r="B611" s="7"/>
      <c r="G611" s="20"/>
      <c r="H611" s="6"/>
      <c r="I611" s="6"/>
      <c r="Q611" s="18"/>
      <c r="S611" s="18"/>
      <c r="AL611" s="19"/>
      <c r="AW611" s="21"/>
    </row>
    <row r="612" spans="1:49" ht="13.2">
      <c r="A612" s="7"/>
      <c r="B612" s="7"/>
      <c r="G612" s="20"/>
      <c r="H612" s="6"/>
      <c r="I612" s="6"/>
      <c r="Q612" s="18"/>
      <c r="S612" s="18"/>
      <c r="AL612" s="19"/>
      <c r="AW612" s="21"/>
    </row>
    <row r="613" spans="1:49" ht="13.2">
      <c r="A613" s="7"/>
      <c r="B613" s="7"/>
      <c r="G613" s="20"/>
      <c r="H613" s="6"/>
      <c r="I613" s="6"/>
      <c r="Q613" s="18"/>
      <c r="S613" s="18"/>
      <c r="AL613" s="19"/>
      <c r="AW613" s="21"/>
    </row>
    <row r="614" spans="1:49" ht="13.2">
      <c r="A614" s="7"/>
      <c r="B614" s="7"/>
      <c r="G614" s="20"/>
      <c r="H614" s="6"/>
      <c r="I614" s="6"/>
      <c r="Q614" s="18"/>
      <c r="S614" s="18"/>
      <c r="AL614" s="19"/>
      <c r="AW614" s="21"/>
    </row>
    <row r="615" spans="1:49" ht="13.2">
      <c r="A615" s="7"/>
      <c r="B615" s="7"/>
      <c r="G615" s="20"/>
      <c r="H615" s="6"/>
      <c r="I615" s="6"/>
      <c r="Q615" s="18"/>
      <c r="S615" s="18"/>
      <c r="AL615" s="19"/>
      <c r="AW615" s="21"/>
    </row>
    <row r="616" spans="1:49" ht="13.2">
      <c r="A616" s="7"/>
      <c r="B616" s="7"/>
      <c r="G616" s="20"/>
      <c r="H616" s="6"/>
      <c r="I616" s="6"/>
      <c r="Q616" s="18"/>
      <c r="S616" s="18"/>
      <c r="AL616" s="19"/>
      <c r="AW616" s="21"/>
    </row>
    <row r="617" spans="1:49" ht="13.2">
      <c r="A617" s="7"/>
      <c r="B617" s="7"/>
      <c r="G617" s="20"/>
      <c r="H617" s="6"/>
      <c r="I617" s="6"/>
      <c r="Q617" s="18"/>
      <c r="S617" s="18"/>
      <c r="AL617" s="19"/>
      <c r="AW617" s="21"/>
    </row>
    <row r="618" spans="1:49" ht="13.2">
      <c r="A618" s="7"/>
      <c r="B618" s="7"/>
      <c r="G618" s="20"/>
      <c r="H618" s="6"/>
      <c r="I618" s="6"/>
      <c r="Q618" s="18"/>
      <c r="S618" s="18"/>
      <c r="AL618" s="19"/>
      <c r="AW618" s="21"/>
    </row>
    <row r="619" spans="1:49" ht="13.2">
      <c r="A619" s="7"/>
      <c r="B619" s="7"/>
      <c r="G619" s="20"/>
      <c r="H619" s="6"/>
      <c r="I619" s="6"/>
      <c r="Q619" s="18"/>
      <c r="S619" s="18"/>
      <c r="AL619" s="19"/>
      <c r="AW619" s="21"/>
    </row>
    <row r="620" spans="1:49" ht="13.2">
      <c r="A620" s="7"/>
      <c r="B620" s="7"/>
      <c r="G620" s="20"/>
      <c r="H620" s="6"/>
      <c r="I620" s="6"/>
      <c r="Q620" s="18"/>
      <c r="S620" s="18"/>
      <c r="AL620" s="19"/>
      <c r="AW620" s="21"/>
    </row>
    <row r="621" spans="1:49" ht="13.2">
      <c r="A621" s="7"/>
      <c r="B621" s="7"/>
      <c r="G621" s="20"/>
      <c r="H621" s="6"/>
      <c r="I621" s="6"/>
      <c r="Q621" s="18"/>
      <c r="S621" s="18"/>
      <c r="AL621" s="19"/>
      <c r="AW621" s="21"/>
    </row>
    <row r="622" spans="1:49" ht="13.2">
      <c r="A622" s="7"/>
      <c r="B622" s="7"/>
      <c r="G622" s="20"/>
      <c r="H622" s="6"/>
      <c r="I622" s="6"/>
      <c r="Q622" s="18"/>
      <c r="S622" s="18"/>
      <c r="AL622" s="19"/>
      <c r="AW622" s="21"/>
    </row>
    <row r="623" spans="1:49" ht="13.2">
      <c r="A623" s="7"/>
      <c r="B623" s="7"/>
      <c r="G623" s="20"/>
      <c r="H623" s="6"/>
      <c r="I623" s="6"/>
      <c r="Q623" s="18"/>
      <c r="S623" s="18"/>
      <c r="AL623" s="19"/>
      <c r="AW623" s="21"/>
    </row>
    <row r="624" spans="1:49" ht="13.2">
      <c r="A624" s="7"/>
      <c r="B624" s="7"/>
      <c r="G624" s="20"/>
      <c r="H624" s="6"/>
      <c r="I624" s="6"/>
      <c r="Q624" s="18"/>
      <c r="S624" s="18"/>
      <c r="AL624" s="19"/>
      <c r="AW624" s="21"/>
    </row>
    <row r="625" spans="1:49" ht="13.2">
      <c r="A625" s="7"/>
      <c r="B625" s="7"/>
      <c r="G625" s="20"/>
      <c r="H625" s="6"/>
      <c r="I625" s="6"/>
      <c r="Q625" s="18"/>
      <c r="S625" s="18"/>
      <c r="AL625" s="19"/>
      <c r="AW625" s="21"/>
    </row>
    <row r="626" spans="1:49" ht="13.2">
      <c r="A626" s="7"/>
      <c r="B626" s="7"/>
      <c r="G626" s="20"/>
      <c r="H626" s="6"/>
      <c r="I626" s="6"/>
      <c r="Q626" s="18"/>
      <c r="S626" s="18"/>
      <c r="AL626" s="19"/>
      <c r="AW626" s="21"/>
    </row>
    <row r="627" spans="1:49" ht="13.2">
      <c r="A627" s="7"/>
      <c r="B627" s="7"/>
      <c r="G627" s="20"/>
      <c r="H627" s="6"/>
      <c r="I627" s="6"/>
      <c r="Q627" s="18"/>
      <c r="S627" s="18"/>
      <c r="AL627" s="19"/>
      <c r="AW627" s="21"/>
    </row>
    <row r="628" spans="1:49" ht="13.2">
      <c r="A628" s="7"/>
      <c r="B628" s="7"/>
      <c r="G628" s="20"/>
      <c r="H628" s="6"/>
      <c r="I628" s="6"/>
      <c r="Q628" s="18"/>
      <c r="S628" s="18"/>
      <c r="AL628" s="19"/>
      <c r="AW628" s="21"/>
    </row>
    <row r="629" spans="1:49" ht="13.2">
      <c r="A629" s="7"/>
      <c r="B629" s="7"/>
      <c r="G629" s="20"/>
      <c r="H629" s="6"/>
      <c r="I629" s="6"/>
      <c r="Q629" s="18"/>
      <c r="S629" s="18"/>
      <c r="AL629" s="19"/>
      <c r="AW629" s="21"/>
    </row>
    <row r="630" spans="1:49" ht="13.2">
      <c r="A630" s="7"/>
      <c r="B630" s="7"/>
      <c r="G630" s="20"/>
      <c r="H630" s="6"/>
      <c r="I630" s="6"/>
      <c r="Q630" s="18"/>
      <c r="S630" s="18"/>
      <c r="AL630" s="19"/>
      <c r="AW630" s="21"/>
    </row>
    <row r="631" spans="1:49" ht="13.2">
      <c r="A631" s="7"/>
      <c r="B631" s="7"/>
      <c r="G631" s="20"/>
      <c r="H631" s="6"/>
      <c r="I631" s="6"/>
      <c r="Q631" s="18"/>
      <c r="S631" s="18"/>
      <c r="AL631" s="19"/>
      <c r="AW631" s="21"/>
    </row>
    <row r="632" spans="1:49" ht="13.2">
      <c r="A632" s="7"/>
      <c r="B632" s="7"/>
      <c r="G632" s="20"/>
      <c r="H632" s="6"/>
      <c r="I632" s="6"/>
      <c r="Q632" s="18"/>
      <c r="S632" s="18"/>
      <c r="AL632" s="19"/>
      <c r="AW632" s="21"/>
    </row>
    <row r="633" spans="1:49" ht="13.2">
      <c r="A633" s="7"/>
      <c r="B633" s="7"/>
      <c r="G633" s="20"/>
      <c r="H633" s="6"/>
      <c r="I633" s="6"/>
      <c r="Q633" s="18"/>
      <c r="S633" s="18"/>
      <c r="AL633" s="19"/>
      <c r="AW633" s="21"/>
    </row>
    <row r="634" spans="1:49" ht="13.2">
      <c r="A634" s="7"/>
      <c r="B634" s="7"/>
      <c r="G634" s="20"/>
      <c r="H634" s="6"/>
      <c r="I634" s="6"/>
      <c r="Q634" s="18"/>
      <c r="S634" s="18"/>
      <c r="AL634" s="19"/>
      <c r="AW634" s="21"/>
    </row>
    <row r="635" spans="1:49" ht="13.2">
      <c r="A635" s="7"/>
      <c r="B635" s="7"/>
      <c r="G635" s="20"/>
      <c r="H635" s="6"/>
      <c r="I635" s="6"/>
      <c r="Q635" s="18"/>
      <c r="S635" s="18"/>
      <c r="AL635" s="19"/>
      <c r="AW635" s="21"/>
    </row>
    <row r="636" spans="1:49" ht="13.2">
      <c r="A636" s="7"/>
      <c r="B636" s="7"/>
      <c r="G636" s="20"/>
      <c r="H636" s="6"/>
      <c r="I636" s="6"/>
      <c r="Q636" s="18"/>
      <c r="S636" s="18"/>
      <c r="AL636" s="19"/>
      <c r="AW636" s="21"/>
    </row>
    <row r="637" spans="1:49" ht="13.2">
      <c r="A637" s="7"/>
      <c r="B637" s="7"/>
      <c r="G637" s="20"/>
      <c r="H637" s="6"/>
      <c r="I637" s="6"/>
      <c r="Q637" s="18"/>
      <c r="S637" s="18"/>
      <c r="AL637" s="19"/>
      <c r="AW637" s="21"/>
    </row>
    <row r="638" spans="1:49" ht="13.2">
      <c r="A638" s="7"/>
      <c r="B638" s="7"/>
      <c r="G638" s="20"/>
      <c r="H638" s="6"/>
      <c r="I638" s="6"/>
      <c r="Q638" s="18"/>
      <c r="S638" s="18"/>
      <c r="AL638" s="19"/>
      <c r="AW638" s="21"/>
    </row>
    <row r="639" spans="1:49" ht="13.2">
      <c r="A639" s="7"/>
      <c r="B639" s="7"/>
      <c r="G639" s="20"/>
      <c r="H639" s="6"/>
      <c r="I639" s="6"/>
      <c r="Q639" s="18"/>
      <c r="S639" s="18"/>
      <c r="AL639" s="19"/>
      <c r="AW639" s="21"/>
    </row>
    <row r="640" spans="1:49" ht="13.2">
      <c r="A640" s="7"/>
      <c r="B640" s="7"/>
      <c r="G640" s="20"/>
      <c r="H640" s="6"/>
      <c r="I640" s="6"/>
      <c r="Q640" s="18"/>
      <c r="S640" s="18"/>
      <c r="AL640" s="19"/>
      <c r="AW640" s="21"/>
    </row>
    <row r="641" spans="1:49" ht="13.2">
      <c r="A641" s="7"/>
      <c r="B641" s="7"/>
      <c r="G641" s="20"/>
      <c r="H641" s="6"/>
      <c r="I641" s="6"/>
      <c r="Q641" s="18"/>
      <c r="S641" s="18"/>
      <c r="AL641" s="19"/>
      <c r="AW641" s="21"/>
    </row>
    <row r="642" spans="1:49" ht="13.2">
      <c r="A642" s="7"/>
      <c r="B642" s="7"/>
      <c r="G642" s="20"/>
      <c r="H642" s="6"/>
      <c r="I642" s="6"/>
      <c r="Q642" s="18"/>
      <c r="S642" s="18"/>
      <c r="AL642" s="19"/>
      <c r="AW642" s="21"/>
    </row>
    <row r="643" spans="1:49" ht="13.2">
      <c r="A643" s="7"/>
      <c r="B643" s="7"/>
      <c r="G643" s="20"/>
      <c r="H643" s="6"/>
      <c r="I643" s="6"/>
      <c r="Q643" s="18"/>
      <c r="S643" s="18"/>
      <c r="AL643" s="19"/>
      <c r="AW643" s="21"/>
    </row>
    <row r="644" spans="1:49" ht="13.2">
      <c r="A644" s="7"/>
      <c r="B644" s="7"/>
      <c r="G644" s="20"/>
      <c r="H644" s="6"/>
      <c r="I644" s="6"/>
      <c r="Q644" s="18"/>
      <c r="S644" s="18"/>
      <c r="AL644" s="19"/>
      <c r="AW644" s="21"/>
    </row>
    <row r="645" spans="1:49" ht="13.2">
      <c r="A645" s="7"/>
      <c r="B645" s="7"/>
      <c r="G645" s="20"/>
      <c r="H645" s="6"/>
      <c r="I645" s="6"/>
      <c r="Q645" s="18"/>
      <c r="S645" s="18"/>
      <c r="AL645" s="19"/>
      <c r="AW645" s="21"/>
    </row>
    <row r="646" spans="1:49" ht="13.2">
      <c r="A646" s="7"/>
      <c r="B646" s="7"/>
      <c r="G646" s="20"/>
      <c r="H646" s="6"/>
      <c r="I646" s="6"/>
      <c r="Q646" s="18"/>
      <c r="S646" s="18"/>
      <c r="AL646" s="19"/>
      <c r="AW646" s="21"/>
    </row>
    <row r="647" spans="1:49" ht="13.2">
      <c r="A647" s="7"/>
      <c r="B647" s="7"/>
      <c r="G647" s="20"/>
      <c r="H647" s="6"/>
      <c r="I647" s="6"/>
      <c r="Q647" s="18"/>
      <c r="S647" s="18"/>
      <c r="AL647" s="19"/>
      <c r="AW647" s="21"/>
    </row>
    <row r="648" spans="1:49" ht="13.2">
      <c r="A648" s="7"/>
      <c r="B648" s="7"/>
      <c r="G648" s="20"/>
      <c r="H648" s="6"/>
      <c r="I648" s="6"/>
      <c r="Q648" s="18"/>
      <c r="S648" s="18"/>
      <c r="AL648" s="19"/>
      <c r="AW648" s="21"/>
    </row>
    <row r="649" spans="1:49" ht="13.2">
      <c r="A649" s="7"/>
      <c r="B649" s="7"/>
      <c r="G649" s="20"/>
      <c r="H649" s="6"/>
      <c r="I649" s="6"/>
      <c r="Q649" s="18"/>
      <c r="S649" s="18"/>
      <c r="AL649" s="19"/>
      <c r="AW649" s="21"/>
    </row>
    <row r="650" spans="1:49" ht="13.2">
      <c r="A650" s="7"/>
      <c r="B650" s="7"/>
      <c r="G650" s="20"/>
      <c r="H650" s="6"/>
      <c r="I650" s="6"/>
      <c r="Q650" s="18"/>
      <c r="S650" s="18"/>
      <c r="AL650" s="19"/>
      <c r="AW650" s="21"/>
    </row>
    <row r="651" spans="1:49" ht="13.2">
      <c r="A651" s="7"/>
      <c r="B651" s="7"/>
      <c r="G651" s="20"/>
      <c r="H651" s="6"/>
      <c r="I651" s="6"/>
      <c r="Q651" s="18"/>
      <c r="S651" s="18"/>
      <c r="AL651" s="19"/>
      <c r="AW651" s="21"/>
    </row>
    <row r="652" spans="1:49" ht="13.2">
      <c r="A652" s="7"/>
      <c r="B652" s="7"/>
      <c r="G652" s="20"/>
      <c r="H652" s="6"/>
      <c r="I652" s="6"/>
      <c r="Q652" s="18"/>
      <c r="S652" s="18"/>
      <c r="AL652" s="19"/>
      <c r="AW652" s="21"/>
    </row>
    <row r="653" spans="1:49" ht="13.2">
      <c r="A653" s="7"/>
      <c r="B653" s="7"/>
      <c r="G653" s="20"/>
      <c r="H653" s="6"/>
      <c r="I653" s="6"/>
      <c r="Q653" s="18"/>
      <c r="S653" s="18"/>
      <c r="AL653" s="19"/>
      <c r="AW653" s="21"/>
    </row>
    <row r="654" spans="1:49" ht="13.2">
      <c r="A654" s="7"/>
      <c r="B654" s="7"/>
      <c r="G654" s="20"/>
      <c r="H654" s="6"/>
      <c r="I654" s="6"/>
      <c r="Q654" s="18"/>
      <c r="S654" s="18"/>
      <c r="AL654" s="19"/>
      <c r="AW654" s="21"/>
    </row>
    <row r="655" spans="1:49" ht="13.2">
      <c r="A655" s="7"/>
      <c r="B655" s="7"/>
      <c r="G655" s="20"/>
      <c r="H655" s="6"/>
      <c r="I655" s="6"/>
      <c r="Q655" s="18"/>
      <c r="S655" s="18"/>
      <c r="AL655" s="19"/>
      <c r="AW655" s="21"/>
    </row>
    <row r="656" spans="1:49" ht="13.2">
      <c r="A656" s="7"/>
      <c r="B656" s="7"/>
      <c r="G656" s="20"/>
      <c r="H656" s="6"/>
      <c r="I656" s="6"/>
      <c r="Q656" s="18"/>
      <c r="S656" s="18"/>
      <c r="AL656" s="19"/>
      <c r="AW656" s="21"/>
    </row>
    <row r="657" spans="1:49" ht="13.2">
      <c r="A657" s="7"/>
      <c r="B657" s="7"/>
      <c r="G657" s="20"/>
      <c r="H657" s="6"/>
      <c r="I657" s="6"/>
      <c r="Q657" s="18"/>
      <c r="S657" s="18"/>
      <c r="AL657" s="19"/>
      <c r="AW657" s="21"/>
    </row>
    <row r="658" spans="1:49" ht="13.2">
      <c r="A658" s="7"/>
      <c r="B658" s="7"/>
      <c r="G658" s="20"/>
      <c r="H658" s="6"/>
      <c r="I658" s="6"/>
      <c r="Q658" s="18"/>
      <c r="S658" s="18"/>
      <c r="AL658" s="19"/>
      <c r="AW658" s="21"/>
    </row>
    <row r="659" spans="1:49" ht="13.2">
      <c r="A659" s="7"/>
      <c r="B659" s="7"/>
      <c r="G659" s="20"/>
      <c r="H659" s="6"/>
      <c r="I659" s="6"/>
      <c r="Q659" s="18"/>
      <c r="S659" s="18"/>
      <c r="AL659" s="19"/>
      <c r="AW659" s="21"/>
    </row>
    <row r="660" spans="1:49" ht="13.2">
      <c r="A660" s="7"/>
      <c r="B660" s="7"/>
      <c r="G660" s="20"/>
      <c r="H660" s="6"/>
      <c r="I660" s="6"/>
      <c r="Q660" s="18"/>
      <c r="S660" s="18"/>
      <c r="AL660" s="19"/>
      <c r="AW660" s="21"/>
    </row>
    <row r="661" spans="1:49" ht="13.2">
      <c r="A661" s="7"/>
      <c r="B661" s="7"/>
      <c r="G661" s="20"/>
      <c r="H661" s="6"/>
      <c r="I661" s="6"/>
      <c r="Q661" s="18"/>
      <c r="S661" s="18"/>
      <c r="AL661" s="19"/>
      <c r="AW661" s="21"/>
    </row>
    <row r="662" spans="1:49" ht="13.2">
      <c r="A662" s="7"/>
      <c r="B662" s="7"/>
      <c r="G662" s="20"/>
      <c r="H662" s="6"/>
      <c r="I662" s="6"/>
      <c r="Q662" s="18"/>
      <c r="S662" s="18"/>
      <c r="AL662" s="19"/>
      <c r="AW662" s="21"/>
    </row>
    <row r="663" spans="1:49" ht="13.2">
      <c r="A663" s="7"/>
      <c r="B663" s="7"/>
      <c r="G663" s="20"/>
      <c r="H663" s="6"/>
      <c r="I663" s="6"/>
      <c r="Q663" s="18"/>
      <c r="S663" s="18"/>
      <c r="AL663" s="19"/>
      <c r="AW663" s="21"/>
    </row>
    <row r="664" spans="1:49" ht="13.2">
      <c r="A664" s="7"/>
      <c r="B664" s="7"/>
      <c r="G664" s="20"/>
      <c r="H664" s="6"/>
      <c r="I664" s="6"/>
      <c r="Q664" s="18"/>
      <c r="S664" s="18"/>
      <c r="AL664" s="19"/>
      <c r="AW664" s="21"/>
    </row>
    <row r="665" spans="1:49" ht="13.2">
      <c r="A665" s="7"/>
      <c r="B665" s="7"/>
      <c r="G665" s="20"/>
      <c r="H665" s="6"/>
      <c r="I665" s="6"/>
      <c r="Q665" s="18"/>
      <c r="S665" s="18"/>
      <c r="AL665" s="19"/>
      <c r="AW665" s="21"/>
    </row>
    <row r="666" spans="1:49" ht="13.2">
      <c r="A666" s="7"/>
      <c r="B666" s="7"/>
      <c r="G666" s="20"/>
      <c r="H666" s="6"/>
      <c r="I666" s="6"/>
      <c r="Q666" s="18"/>
      <c r="S666" s="18"/>
      <c r="AL666" s="19"/>
      <c r="AW666" s="21"/>
    </row>
    <row r="667" spans="1:49" ht="13.2">
      <c r="A667" s="7"/>
      <c r="B667" s="7"/>
      <c r="G667" s="20"/>
      <c r="H667" s="6"/>
      <c r="I667" s="6"/>
      <c r="Q667" s="18"/>
      <c r="S667" s="18"/>
      <c r="AL667" s="19"/>
      <c r="AW667" s="21"/>
    </row>
    <row r="668" spans="1:49" ht="13.2">
      <c r="A668" s="7"/>
      <c r="B668" s="7"/>
      <c r="G668" s="20"/>
      <c r="H668" s="6"/>
      <c r="I668" s="6"/>
      <c r="Q668" s="18"/>
      <c r="S668" s="18"/>
      <c r="AL668" s="19"/>
      <c r="AW668" s="21"/>
    </row>
    <row r="669" spans="1:49" ht="13.2">
      <c r="A669" s="7"/>
      <c r="B669" s="7"/>
      <c r="G669" s="20"/>
      <c r="H669" s="6"/>
      <c r="I669" s="6"/>
      <c r="Q669" s="18"/>
      <c r="S669" s="18"/>
      <c r="AL669" s="19"/>
      <c r="AW669" s="21"/>
    </row>
    <row r="670" spans="1:49" ht="13.2">
      <c r="A670" s="7"/>
      <c r="B670" s="7"/>
      <c r="G670" s="20"/>
      <c r="H670" s="6"/>
      <c r="I670" s="6"/>
      <c r="Q670" s="18"/>
      <c r="S670" s="18"/>
      <c r="AL670" s="19"/>
      <c r="AW670" s="21"/>
    </row>
    <row r="671" spans="1:49" ht="13.2">
      <c r="A671" s="7"/>
      <c r="B671" s="7"/>
      <c r="G671" s="20"/>
      <c r="H671" s="6"/>
      <c r="I671" s="6"/>
      <c r="Q671" s="18"/>
      <c r="S671" s="18"/>
      <c r="AL671" s="19"/>
      <c r="AW671" s="21"/>
    </row>
    <row r="672" spans="1:49" ht="13.2">
      <c r="A672" s="7"/>
      <c r="B672" s="7"/>
      <c r="G672" s="20"/>
      <c r="H672" s="6"/>
      <c r="I672" s="6"/>
      <c r="Q672" s="18"/>
      <c r="S672" s="18"/>
      <c r="AL672" s="19"/>
      <c r="AW672" s="21"/>
    </row>
    <row r="673" spans="1:49" ht="13.2">
      <c r="A673" s="7"/>
      <c r="B673" s="7"/>
      <c r="G673" s="20"/>
      <c r="H673" s="6"/>
      <c r="I673" s="6"/>
      <c r="Q673" s="18"/>
      <c r="S673" s="18"/>
      <c r="AL673" s="19"/>
      <c r="AW673" s="21"/>
    </row>
    <row r="674" spans="1:49" ht="13.2">
      <c r="A674" s="7"/>
      <c r="B674" s="7"/>
      <c r="G674" s="20"/>
      <c r="H674" s="6"/>
      <c r="I674" s="6"/>
      <c r="Q674" s="18"/>
      <c r="S674" s="18"/>
      <c r="AL674" s="19"/>
      <c r="AW674" s="21"/>
    </row>
    <row r="675" spans="1:49" ht="13.2">
      <c r="A675" s="7"/>
      <c r="B675" s="7"/>
      <c r="G675" s="20"/>
      <c r="H675" s="6"/>
      <c r="I675" s="6"/>
      <c r="Q675" s="18"/>
      <c r="S675" s="18"/>
      <c r="AL675" s="19"/>
      <c r="AW675" s="21"/>
    </row>
    <row r="676" spans="1:49" ht="13.2">
      <c r="A676" s="7"/>
      <c r="B676" s="7"/>
      <c r="G676" s="20"/>
      <c r="H676" s="6"/>
      <c r="I676" s="6"/>
      <c r="Q676" s="18"/>
      <c r="S676" s="18"/>
      <c r="AL676" s="19"/>
      <c r="AW676" s="21"/>
    </row>
    <row r="677" spans="1:49" ht="13.2">
      <c r="A677" s="7"/>
      <c r="B677" s="7"/>
      <c r="G677" s="20"/>
      <c r="H677" s="6"/>
      <c r="I677" s="6"/>
      <c r="Q677" s="18"/>
      <c r="S677" s="18"/>
      <c r="AL677" s="19"/>
      <c r="AW677" s="21"/>
    </row>
    <row r="678" spans="1:49" ht="13.2">
      <c r="A678" s="7"/>
      <c r="B678" s="7"/>
      <c r="G678" s="20"/>
      <c r="H678" s="6"/>
      <c r="I678" s="6"/>
      <c r="Q678" s="18"/>
      <c r="S678" s="18"/>
      <c r="AL678" s="19"/>
      <c r="AW678" s="21"/>
    </row>
    <row r="679" spans="1:49" ht="13.2">
      <c r="A679" s="7"/>
      <c r="B679" s="7"/>
      <c r="G679" s="20"/>
      <c r="H679" s="6"/>
      <c r="I679" s="6"/>
      <c r="Q679" s="18"/>
      <c r="S679" s="18"/>
      <c r="AL679" s="19"/>
      <c r="AW679" s="21"/>
    </row>
    <row r="680" spans="1:49" ht="13.2">
      <c r="A680" s="7"/>
      <c r="B680" s="7"/>
      <c r="G680" s="20"/>
      <c r="H680" s="6"/>
      <c r="I680" s="6"/>
      <c r="Q680" s="18"/>
      <c r="S680" s="18"/>
      <c r="AL680" s="19"/>
      <c r="AW680" s="21"/>
    </row>
    <row r="681" spans="1:49" ht="13.2">
      <c r="A681" s="7"/>
      <c r="B681" s="7"/>
      <c r="G681" s="20"/>
      <c r="H681" s="6"/>
      <c r="I681" s="6"/>
      <c r="Q681" s="18"/>
      <c r="S681" s="18"/>
      <c r="AL681" s="19"/>
      <c r="AW681" s="21"/>
    </row>
    <row r="682" spans="1:49" ht="13.2">
      <c r="A682" s="7"/>
      <c r="B682" s="7"/>
      <c r="G682" s="20"/>
      <c r="H682" s="6"/>
      <c r="I682" s="6"/>
      <c r="Q682" s="18"/>
      <c r="S682" s="18"/>
      <c r="AL682" s="19"/>
      <c r="AW682" s="21"/>
    </row>
    <row r="683" spans="1:49" ht="13.2">
      <c r="A683" s="7"/>
      <c r="B683" s="7"/>
      <c r="G683" s="20"/>
      <c r="H683" s="6"/>
      <c r="I683" s="6"/>
      <c r="Q683" s="18"/>
      <c r="S683" s="18"/>
      <c r="AL683" s="19"/>
      <c r="AW683" s="21"/>
    </row>
    <row r="684" spans="1:49" ht="13.2">
      <c r="A684" s="7"/>
      <c r="B684" s="7"/>
      <c r="G684" s="20"/>
      <c r="H684" s="6"/>
      <c r="I684" s="6"/>
      <c r="Q684" s="18"/>
      <c r="S684" s="18"/>
      <c r="AL684" s="19"/>
      <c r="AW684" s="21"/>
    </row>
    <row r="685" spans="1:49" ht="13.2">
      <c r="A685" s="7"/>
      <c r="B685" s="7"/>
      <c r="G685" s="20"/>
      <c r="H685" s="6"/>
      <c r="I685" s="6"/>
      <c r="Q685" s="18"/>
      <c r="S685" s="18"/>
      <c r="AL685" s="19"/>
      <c r="AW685" s="21"/>
    </row>
    <row r="686" spans="1:49" ht="13.2">
      <c r="A686" s="7"/>
      <c r="B686" s="7"/>
      <c r="G686" s="20"/>
      <c r="H686" s="6"/>
      <c r="I686" s="6"/>
      <c r="Q686" s="18"/>
      <c r="S686" s="18"/>
      <c r="AL686" s="19"/>
      <c r="AW686" s="21"/>
    </row>
    <row r="687" spans="1:49" ht="13.2">
      <c r="A687" s="7"/>
      <c r="B687" s="7"/>
      <c r="G687" s="20"/>
      <c r="H687" s="6"/>
      <c r="I687" s="6"/>
      <c r="Q687" s="18"/>
      <c r="S687" s="18"/>
      <c r="AL687" s="19"/>
      <c r="AW687" s="21"/>
    </row>
    <row r="688" spans="1:49" ht="13.2">
      <c r="A688" s="7"/>
      <c r="B688" s="7"/>
      <c r="G688" s="20"/>
      <c r="H688" s="6"/>
      <c r="I688" s="6"/>
      <c r="Q688" s="18"/>
      <c r="S688" s="18"/>
      <c r="AL688" s="19"/>
      <c r="AW688" s="21"/>
    </row>
    <row r="689" spans="1:49" ht="13.2">
      <c r="A689" s="7"/>
      <c r="B689" s="7"/>
      <c r="G689" s="20"/>
      <c r="H689" s="6"/>
      <c r="I689" s="6"/>
      <c r="Q689" s="18"/>
      <c r="S689" s="18"/>
      <c r="AL689" s="19"/>
      <c r="AW689" s="21"/>
    </row>
    <row r="690" spans="1:49" ht="13.2">
      <c r="A690" s="7"/>
      <c r="B690" s="7"/>
      <c r="G690" s="20"/>
      <c r="H690" s="6"/>
      <c r="I690" s="6"/>
      <c r="Q690" s="18"/>
      <c r="S690" s="18"/>
      <c r="AL690" s="19"/>
      <c r="AW690" s="21"/>
    </row>
    <row r="691" spans="1:49" ht="13.2">
      <c r="A691" s="7"/>
      <c r="B691" s="7"/>
      <c r="G691" s="20"/>
      <c r="H691" s="6"/>
      <c r="I691" s="6"/>
      <c r="Q691" s="18"/>
      <c r="S691" s="18"/>
      <c r="AL691" s="19"/>
      <c r="AW691" s="21"/>
    </row>
    <row r="692" spans="1:49" ht="13.2">
      <c r="A692" s="7"/>
      <c r="B692" s="7"/>
      <c r="G692" s="20"/>
      <c r="H692" s="6"/>
      <c r="I692" s="6"/>
      <c r="Q692" s="18"/>
      <c r="S692" s="18"/>
      <c r="AL692" s="19"/>
      <c r="AW692" s="21"/>
    </row>
    <row r="693" spans="1:49" ht="13.2">
      <c r="A693" s="7"/>
      <c r="B693" s="7"/>
      <c r="G693" s="20"/>
      <c r="H693" s="6"/>
      <c r="I693" s="6"/>
      <c r="Q693" s="18"/>
      <c r="S693" s="18"/>
      <c r="AL693" s="19"/>
      <c r="AW693" s="21"/>
    </row>
    <row r="694" spans="1:49" ht="13.2">
      <c r="A694" s="7"/>
      <c r="B694" s="7"/>
      <c r="G694" s="20"/>
      <c r="H694" s="6"/>
      <c r="I694" s="6"/>
      <c r="Q694" s="18"/>
      <c r="S694" s="18"/>
      <c r="AL694" s="19"/>
      <c r="AW694" s="21"/>
    </row>
    <row r="695" spans="1:49" ht="13.2">
      <c r="A695" s="7"/>
      <c r="B695" s="7"/>
      <c r="G695" s="20"/>
      <c r="H695" s="6"/>
      <c r="I695" s="6"/>
      <c r="Q695" s="18"/>
      <c r="S695" s="18"/>
      <c r="AL695" s="19"/>
      <c r="AW695" s="21"/>
    </row>
    <row r="696" spans="1:49" ht="13.2">
      <c r="A696" s="7"/>
      <c r="B696" s="7"/>
      <c r="G696" s="20"/>
      <c r="H696" s="6"/>
      <c r="I696" s="6"/>
      <c r="Q696" s="18"/>
      <c r="S696" s="18"/>
      <c r="AL696" s="19"/>
      <c r="AW696" s="21"/>
    </row>
    <row r="697" spans="1:49" ht="13.2">
      <c r="A697" s="7"/>
      <c r="B697" s="7"/>
      <c r="G697" s="20"/>
      <c r="H697" s="6"/>
      <c r="I697" s="6"/>
      <c r="Q697" s="18"/>
      <c r="S697" s="18"/>
      <c r="AL697" s="19"/>
      <c r="AW697" s="21"/>
    </row>
    <row r="698" spans="1:49" ht="13.2">
      <c r="A698" s="7"/>
      <c r="B698" s="7"/>
      <c r="G698" s="20"/>
      <c r="H698" s="6"/>
      <c r="I698" s="6"/>
      <c r="Q698" s="18"/>
      <c r="S698" s="18"/>
      <c r="AL698" s="19"/>
      <c r="AW698" s="21"/>
    </row>
    <row r="699" spans="1:49" ht="13.2">
      <c r="A699" s="7"/>
      <c r="B699" s="7"/>
      <c r="G699" s="20"/>
      <c r="H699" s="6"/>
      <c r="I699" s="6"/>
      <c r="Q699" s="18"/>
      <c r="S699" s="18"/>
      <c r="AL699" s="19"/>
      <c r="AW699" s="21"/>
    </row>
    <row r="700" spans="1:49" ht="13.2">
      <c r="A700" s="7"/>
      <c r="B700" s="7"/>
      <c r="G700" s="20"/>
      <c r="H700" s="6"/>
      <c r="I700" s="6"/>
      <c r="Q700" s="18"/>
      <c r="S700" s="18"/>
      <c r="AL700" s="19"/>
      <c r="AW700" s="21"/>
    </row>
    <row r="701" spans="1:49" ht="13.2">
      <c r="A701" s="7"/>
      <c r="B701" s="7"/>
      <c r="G701" s="20"/>
      <c r="H701" s="6"/>
      <c r="I701" s="6"/>
      <c r="Q701" s="18"/>
      <c r="S701" s="18"/>
      <c r="AL701" s="19"/>
      <c r="AW701" s="21"/>
    </row>
    <row r="702" spans="1:49" ht="13.2">
      <c r="A702" s="7"/>
      <c r="B702" s="7"/>
      <c r="G702" s="20"/>
      <c r="H702" s="6"/>
      <c r="I702" s="6"/>
      <c r="Q702" s="18"/>
      <c r="S702" s="18"/>
      <c r="AL702" s="19"/>
      <c r="AW702" s="21"/>
    </row>
    <row r="703" spans="1:49" ht="13.2">
      <c r="A703" s="7"/>
      <c r="B703" s="7"/>
      <c r="G703" s="20"/>
      <c r="H703" s="6"/>
      <c r="I703" s="6"/>
      <c r="Q703" s="18"/>
      <c r="S703" s="18"/>
      <c r="AL703" s="19"/>
      <c r="AW703" s="21"/>
    </row>
    <row r="704" spans="1:49" ht="13.2">
      <c r="A704" s="7"/>
      <c r="B704" s="7"/>
      <c r="G704" s="20"/>
      <c r="H704" s="6"/>
      <c r="I704" s="6"/>
      <c r="Q704" s="18"/>
      <c r="S704" s="18"/>
      <c r="AL704" s="19"/>
      <c r="AW704" s="21"/>
    </row>
    <row r="705" spans="1:49" ht="13.2">
      <c r="A705" s="7"/>
      <c r="B705" s="7"/>
      <c r="G705" s="20"/>
      <c r="H705" s="6"/>
      <c r="I705" s="6"/>
      <c r="Q705" s="18"/>
      <c r="S705" s="18"/>
      <c r="AL705" s="19"/>
      <c r="AW705" s="21"/>
    </row>
    <row r="706" spans="1:49" ht="13.2">
      <c r="A706" s="7"/>
      <c r="B706" s="7"/>
      <c r="G706" s="20"/>
      <c r="H706" s="6"/>
      <c r="I706" s="6"/>
      <c r="Q706" s="18"/>
      <c r="S706" s="18"/>
      <c r="AL706" s="19"/>
      <c r="AW706" s="21"/>
    </row>
    <row r="707" spans="1:49" ht="13.2">
      <c r="A707" s="7"/>
      <c r="B707" s="7"/>
      <c r="G707" s="20"/>
      <c r="H707" s="6"/>
      <c r="I707" s="6"/>
      <c r="Q707" s="18"/>
      <c r="S707" s="18"/>
      <c r="AL707" s="19"/>
      <c r="AW707" s="21"/>
    </row>
    <row r="708" spans="1:49" ht="13.2">
      <c r="A708" s="7"/>
      <c r="B708" s="7"/>
      <c r="G708" s="20"/>
      <c r="H708" s="6"/>
      <c r="I708" s="6"/>
      <c r="Q708" s="18"/>
      <c r="S708" s="18"/>
      <c r="AL708" s="19"/>
      <c r="AW708" s="21"/>
    </row>
    <row r="709" spans="1:49" ht="13.2">
      <c r="A709" s="7"/>
      <c r="B709" s="7"/>
      <c r="G709" s="20"/>
      <c r="H709" s="6"/>
      <c r="I709" s="6"/>
      <c r="Q709" s="18"/>
      <c r="S709" s="18"/>
      <c r="AL709" s="19"/>
      <c r="AW709" s="21"/>
    </row>
    <row r="710" spans="1:49" ht="13.2">
      <c r="A710" s="7"/>
      <c r="B710" s="7"/>
      <c r="G710" s="20"/>
      <c r="H710" s="6"/>
      <c r="I710" s="6"/>
      <c r="Q710" s="18"/>
      <c r="S710" s="18"/>
      <c r="AL710" s="19"/>
      <c r="AW710" s="21"/>
    </row>
    <row r="711" spans="1:49" ht="13.2">
      <c r="A711" s="7"/>
      <c r="B711" s="7"/>
      <c r="G711" s="20"/>
      <c r="H711" s="6"/>
      <c r="I711" s="6"/>
      <c r="Q711" s="18"/>
      <c r="S711" s="18"/>
      <c r="AL711" s="19"/>
      <c r="AW711" s="21"/>
    </row>
    <row r="712" spans="1:49" ht="13.2">
      <c r="A712" s="7"/>
      <c r="B712" s="7"/>
      <c r="G712" s="20"/>
      <c r="H712" s="6"/>
      <c r="I712" s="6"/>
      <c r="Q712" s="18"/>
      <c r="S712" s="18"/>
      <c r="AL712" s="19"/>
      <c r="AW712" s="21"/>
    </row>
    <row r="713" spans="1:49" ht="13.2">
      <c r="A713" s="7"/>
      <c r="B713" s="7"/>
      <c r="G713" s="20"/>
      <c r="H713" s="6"/>
      <c r="I713" s="6"/>
      <c r="Q713" s="18"/>
      <c r="S713" s="18"/>
      <c r="AL713" s="19"/>
      <c r="AW713" s="21"/>
    </row>
    <row r="714" spans="1:49" ht="13.2">
      <c r="A714" s="7"/>
      <c r="B714" s="7"/>
      <c r="G714" s="20"/>
      <c r="H714" s="6"/>
      <c r="I714" s="6"/>
      <c r="Q714" s="18"/>
      <c r="S714" s="18"/>
      <c r="AL714" s="19"/>
      <c r="AW714" s="21"/>
    </row>
    <row r="715" spans="1:49" ht="13.2">
      <c r="A715" s="7"/>
      <c r="B715" s="7"/>
      <c r="G715" s="20"/>
      <c r="H715" s="6"/>
      <c r="I715" s="6"/>
      <c r="Q715" s="18"/>
      <c r="S715" s="18"/>
      <c r="AL715" s="19"/>
      <c r="AW715" s="21"/>
    </row>
    <row r="716" spans="1:49" ht="13.2">
      <c r="A716" s="7"/>
      <c r="B716" s="7"/>
      <c r="G716" s="20"/>
      <c r="H716" s="6"/>
      <c r="I716" s="6"/>
      <c r="Q716" s="18"/>
      <c r="S716" s="18"/>
      <c r="AL716" s="19"/>
      <c r="AW716" s="21"/>
    </row>
    <row r="717" spans="1:49" ht="13.2">
      <c r="A717" s="7"/>
      <c r="B717" s="7"/>
      <c r="G717" s="20"/>
      <c r="H717" s="6"/>
      <c r="I717" s="6"/>
      <c r="Q717" s="18"/>
      <c r="S717" s="18"/>
      <c r="AL717" s="19"/>
      <c r="AW717" s="21"/>
    </row>
    <row r="718" spans="1:49" ht="13.2">
      <c r="A718" s="7"/>
      <c r="B718" s="7"/>
      <c r="G718" s="20"/>
      <c r="H718" s="6"/>
      <c r="I718" s="6"/>
      <c r="Q718" s="18"/>
      <c r="S718" s="18"/>
      <c r="AL718" s="19"/>
      <c r="AW718" s="21"/>
    </row>
    <row r="719" spans="1:49" ht="13.2">
      <c r="A719" s="7"/>
      <c r="B719" s="7"/>
      <c r="G719" s="20"/>
      <c r="H719" s="6"/>
      <c r="I719" s="6"/>
      <c r="Q719" s="18"/>
      <c r="S719" s="18"/>
      <c r="AL719" s="19"/>
      <c r="AW719" s="21"/>
    </row>
    <row r="720" spans="1:49" ht="13.2">
      <c r="A720" s="7"/>
      <c r="B720" s="7"/>
      <c r="G720" s="20"/>
      <c r="H720" s="6"/>
      <c r="I720" s="6"/>
      <c r="Q720" s="18"/>
      <c r="S720" s="18"/>
      <c r="AL720" s="19"/>
      <c r="AW720" s="21"/>
    </row>
    <row r="721" spans="1:49" ht="13.2">
      <c r="A721" s="7"/>
      <c r="B721" s="7"/>
      <c r="G721" s="20"/>
      <c r="H721" s="6"/>
      <c r="I721" s="6"/>
      <c r="Q721" s="18"/>
      <c r="S721" s="18"/>
      <c r="AL721" s="19"/>
      <c r="AW721" s="21"/>
    </row>
    <row r="722" spans="1:49" ht="13.2">
      <c r="A722" s="7"/>
      <c r="B722" s="7"/>
      <c r="G722" s="20"/>
      <c r="H722" s="6"/>
      <c r="I722" s="6"/>
      <c r="Q722" s="18"/>
      <c r="S722" s="18"/>
      <c r="AL722" s="19"/>
      <c r="AW722" s="21"/>
    </row>
    <row r="723" spans="1:49" ht="13.2">
      <c r="A723" s="7"/>
      <c r="B723" s="7"/>
      <c r="G723" s="20"/>
      <c r="H723" s="6"/>
      <c r="I723" s="6"/>
      <c r="Q723" s="18"/>
      <c r="S723" s="18"/>
      <c r="AL723" s="19"/>
      <c r="AW723" s="21"/>
    </row>
    <row r="724" spans="1:49" ht="13.2">
      <c r="A724" s="7"/>
      <c r="B724" s="7"/>
      <c r="G724" s="20"/>
      <c r="H724" s="6"/>
      <c r="I724" s="6"/>
      <c r="Q724" s="18"/>
      <c r="S724" s="18"/>
      <c r="AL724" s="19"/>
      <c r="AW724" s="21"/>
    </row>
    <row r="725" spans="1:49" ht="13.2">
      <c r="A725" s="7"/>
      <c r="B725" s="7"/>
      <c r="G725" s="20"/>
      <c r="H725" s="6"/>
      <c r="I725" s="6"/>
      <c r="Q725" s="18"/>
      <c r="S725" s="18"/>
      <c r="AL725" s="19"/>
      <c r="AW725" s="21"/>
    </row>
    <row r="726" spans="1:49" ht="13.2">
      <c r="A726" s="7"/>
      <c r="B726" s="7"/>
      <c r="G726" s="20"/>
      <c r="H726" s="6"/>
      <c r="I726" s="6"/>
      <c r="Q726" s="18"/>
      <c r="S726" s="18"/>
      <c r="AL726" s="19"/>
      <c r="AW726" s="21"/>
    </row>
    <row r="727" spans="1:49" ht="13.2">
      <c r="A727" s="7"/>
      <c r="B727" s="7"/>
      <c r="G727" s="20"/>
      <c r="H727" s="6"/>
      <c r="I727" s="6"/>
      <c r="Q727" s="18"/>
      <c r="S727" s="18"/>
      <c r="AL727" s="19"/>
      <c r="AW727" s="21"/>
    </row>
    <row r="728" spans="1:49" ht="13.2">
      <c r="A728" s="7"/>
      <c r="B728" s="7"/>
      <c r="G728" s="20"/>
      <c r="H728" s="6"/>
      <c r="I728" s="6"/>
      <c r="Q728" s="18"/>
      <c r="S728" s="18"/>
      <c r="AL728" s="19"/>
      <c r="AW728" s="21"/>
    </row>
    <row r="729" spans="1:49" ht="13.2">
      <c r="A729" s="7"/>
      <c r="B729" s="7"/>
      <c r="G729" s="20"/>
      <c r="H729" s="6"/>
      <c r="I729" s="6"/>
      <c r="Q729" s="18"/>
      <c r="S729" s="18"/>
      <c r="AL729" s="19"/>
      <c r="AW729" s="21"/>
    </row>
    <row r="730" spans="1:49" ht="13.2">
      <c r="A730" s="7"/>
      <c r="B730" s="7"/>
      <c r="G730" s="20"/>
      <c r="H730" s="6"/>
      <c r="I730" s="6"/>
      <c r="Q730" s="18"/>
      <c r="S730" s="18"/>
      <c r="AL730" s="19"/>
      <c r="AW730" s="21"/>
    </row>
    <row r="731" spans="1:49" ht="13.2">
      <c r="A731" s="7"/>
      <c r="B731" s="7"/>
      <c r="G731" s="20"/>
      <c r="H731" s="6"/>
      <c r="I731" s="6"/>
      <c r="Q731" s="18"/>
      <c r="S731" s="18"/>
      <c r="AL731" s="19"/>
      <c r="AW731" s="21"/>
    </row>
    <row r="732" spans="1:49" ht="13.2">
      <c r="A732" s="7"/>
      <c r="B732" s="7"/>
      <c r="G732" s="20"/>
      <c r="H732" s="6"/>
      <c r="I732" s="6"/>
      <c r="Q732" s="18"/>
      <c r="S732" s="18"/>
      <c r="AL732" s="19"/>
      <c r="AW732" s="21"/>
    </row>
    <row r="733" spans="1:49" ht="13.2">
      <c r="A733" s="7"/>
      <c r="B733" s="7"/>
      <c r="G733" s="20"/>
      <c r="H733" s="6"/>
      <c r="I733" s="6"/>
      <c r="Q733" s="18"/>
      <c r="S733" s="18"/>
      <c r="AL733" s="19"/>
      <c r="AW733" s="21"/>
    </row>
    <row r="734" spans="1:49" ht="13.2">
      <c r="A734" s="7"/>
      <c r="B734" s="7"/>
      <c r="G734" s="20"/>
      <c r="H734" s="6"/>
      <c r="I734" s="6"/>
      <c r="Q734" s="18"/>
      <c r="S734" s="18"/>
      <c r="AL734" s="19"/>
      <c r="AW734" s="21"/>
    </row>
    <row r="735" spans="1:49" ht="13.2">
      <c r="A735" s="7"/>
      <c r="B735" s="7"/>
      <c r="G735" s="20"/>
      <c r="H735" s="6"/>
      <c r="I735" s="6"/>
      <c r="Q735" s="18"/>
      <c r="S735" s="18"/>
      <c r="AL735" s="19"/>
      <c r="AW735" s="21"/>
    </row>
    <row r="736" spans="1:49" ht="13.2">
      <c r="A736" s="7"/>
      <c r="B736" s="7"/>
      <c r="G736" s="20"/>
      <c r="H736" s="6"/>
      <c r="I736" s="6"/>
      <c r="Q736" s="18"/>
      <c r="S736" s="18"/>
      <c r="AL736" s="19"/>
      <c r="AW736" s="21"/>
    </row>
    <row r="737" spans="1:49" ht="13.2">
      <c r="A737" s="7"/>
      <c r="B737" s="7"/>
      <c r="G737" s="20"/>
      <c r="H737" s="6"/>
      <c r="I737" s="6"/>
      <c r="Q737" s="18"/>
      <c r="S737" s="18"/>
      <c r="AL737" s="19"/>
      <c r="AW737" s="21"/>
    </row>
    <row r="738" spans="1:49" ht="13.2">
      <c r="A738" s="7"/>
      <c r="B738" s="7"/>
      <c r="G738" s="20"/>
      <c r="H738" s="6"/>
      <c r="I738" s="6"/>
      <c r="Q738" s="18"/>
      <c r="S738" s="18"/>
      <c r="AL738" s="19"/>
      <c r="AW738" s="21"/>
    </row>
    <row r="739" spans="1:49" ht="13.2">
      <c r="A739" s="7"/>
      <c r="B739" s="7"/>
      <c r="G739" s="20"/>
      <c r="H739" s="6"/>
      <c r="I739" s="6"/>
      <c r="Q739" s="18"/>
      <c r="S739" s="18"/>
      <c r="AL739" s="19"/>
      <c r="AW739" s="21"/>
    </row>
    <row r="740" spans="1:49" ht="13.2">
      <c r="A740" s="7"/>
      <c r="B740" s="7"/>
      <c r="G740" s="20"/>
      <c r="H740" s="6"/>
      <c r="I740" s="6"/>
      <c r="Q740" s="18"/>
      <c r="S740" s="18"/>
      <c r="AL740" s="19"/>
      <c r="AW740" s="21"/>
    </row>
    <row r="741" spans="1:49" ht="13.2">
      <c r="A741" s="7"/>
      <c r="B741" s="7"/>
      <c r="G741" s="20"/>
      <c r="H741" s="6"/>
      <c r="I741" s="6"/>
      <c r="Q741" s="18"/>
      <c r="S741" s="18"/>
      <c r="AL741" s="19"/>
      <c r="AW741" s="21"/>
    </row>
    <row r="742" spans="1:49" ht="13.2">
      <c r="A742" s="7"/>
      <c r="B742" s="7"/>
      <c r="G742" s="20"/>
      <c r="H742" s="6"/>
      <c r="I742" s="6"/>
      <c r="Q742" s="18"/>
      <c r="S742" s="18"/>
      <c r="AL742" s="19"/>
      <c r="AW742" s="21"/>
    </row>
    <row r="743" spans="1:49" ht="13.2">
      <c r="A743" s="7"/>
      <c r="B743" s="7"/>
      <c r="G743" s="20"/>
      <c r="H743" s="6"/>
      <c r="I743" s="6"/>
      <c r="Q743" s="18"/>
      <c r="S743" s="18"/>
      <c r="AL743" s="19"/>
      <c r="AW743" s="21"/>
    </row>
    <row r="744" spans="1:49" ht="13.2">
      <c r="A744" s="7"/>
      <c r="B744" s="7"/>
      <c r="G744" s="20"/>
      <c r="H744" s="6"/>
      <c r="I744" s="6"/>
      <c r="Q744" s="18"/>
      <c r="S744" s="18"/>
      <c r="AL744" s="19"/>
      <c r="AW744" s="21"/>
    </row>
    <row r="745" spans="1:49" ht="13.2">
      <c r="A745" s="7"/>
      <c r="B745" s="7"/>
      <c r="G745" s="20"/>
      <c r="H745" s="6"/>
      <c r="I745" s="6"/>
      <c r="Q745" s="18"/>
      <c r="S745" s="18"/>
      <c r="AL745" s="19"/>
      <c r="AW745" s="21"/>
    </row>
    <row r="746" spans="1:49" ht="13.2">
      <c r="A746" s="7"/>
      <c r="B746" s="7"/>
      <c r="G746" s="20"/>
      <c r="H746" s="6"/>
      <c r="I746" s="6"/>
      <c r="Q746" s="18"/>
      <c r="S746" s="18"/>
      <c r="AL746" s="19"/>
      <c r="AW746" s="21"/>
    </row>
    <row r="747" spans="1:49" ht="13.2">
      <c r="A747" s="7"/>
      <c r="B747" s="7"/>
      <c r="G747" s="20"/>
      <c r="H747" s="6"/>
      <c r="I747" s="6"/>
      <c r="Q747" s="18"/>
      <c r="S747" s="18"/>
      <c r="AL747" s="19"/>
      <c r="AW747" s="21"/>
    </row>
    <row r="748" spans="1:49" ht="13.2">
      <c r="A748" s="7"/>
      <c r="B748" s="7"/>
      <c r="G748" s="20"/>
      <c r="H748" s="6"/>
      <c r="I748" s="6"/>
      <c r="Q748" s="18"/>
      <c r="S748" s="18"/>
      <c r="AL748" s="19"/>
      <c r="AW748" s="21"/>
    </row>
    <row r="749" spans="1:49" ht="13.2">
      <c r="A749" s="7"/>
      <c r="B749" s="7"/>
      <c r="G749" s="20"/>
      <c r="H749" s="6"/>
      <c r="I749" s="6"/>
      <c r="Q749" s="18"/>
      <c r="S749" s="18"/>
      <c r="AL749" s="19"/>
      <c r="AW749" s="21"/>
    </row>
    <row r="750" spans="1:49" ht="13.2">
      <c r="A750" s="7"/>
      <c r="B750" s="7"/>
      <c r="G750" s="20"/>
      <c r="H750" s="6"/>
      <c r="I750" s="6"/>
      <c r="Q750" s="18"/>
      <c r="S750" s="18"/>
      <c r="AL750" s="19"/>
      <c r="AW750" s="21"/>
    </row>
    <row r="751" spans="1:49" ht="13.2">
      <c r="A751" s="7"/>
      <c r="B751" s="7"/>
      <c r="G751" s="20"/>
      <c r="H751" s="6"/>
      <c r="I751" s="6"/>
      <c r="Q751" s="18"/>
      <c r="S751" s="18"/>
      <c r="AL751" s="19"/>
      <c r="AW751" s="21"/>
    </row>
    <row r="752" spans="1:49" ht="13.2">
      <c r="A752" s="7"/>
      <c r="B752" s="7"/>
      <c r="G752" s="20"/>
      <c r="H752" s="6"/>
      <c r="I752" s="6"/>
      <c r="Q752" s="18"/>
      <c r="S752" s="18"/>
      <c r="AL752" s="19"/>
      <c r="AW752" s="21"/>
    </row>
    <row r="753" spans="1:49" ht="13.2">
      <c r="A753" s="7"/>
      <c r="B753" s="7"/>
      <c r="G753" s="20"/>
      <c r="H753" s="6"/>
      <c r="I753" s="6"/>
      <c r="Q753" s="18"/>
      <c r="S753" s="18"/>
      <c r="AL753" s="19"/>
      <c r="AW753" s="21"/>
    </row>
    <row r="754" spans="1:49" ht="13.2">
      <c r="A754" s="7"/>
      <c r="B754" s="7"/>
      <c r="G754" s="20"/>
      <c r="H754" s="6"/>
      <c r="I754" s="6"/>
      <c r="Q754" s="18"/>
      <c r="S754" s="18"/>
      <c r="AL754" s="19"/>
      <c r="AW754" s="21"/>
    </row>
    <row r="755" spans="1:49" ht="13.2">
      <c r="A755" s="7"/>
      <c r="B755" s="7"/>
      <c r="G755" s="20"/>
      <c r="H755" s="6"/>
      <c r="I755" s="6"/>
      <c r="Q755" s="18"/>
      <c r="S755" s="18"/>
      <c r="AL755" s="19"/>
      <c r="AW755" s="21"/>
    </row>
    <row r="756" spans="1:49" ht="13.2">
      <c r="A756" s="7"/>
      <c r="B756" s="7"/>
      <c r="G756" s="20"/>
      <c r="H756" s="6"/>
      <c r="I756" s="6"/>
      <c r="Q756" s="18"/>
      <c r="S756" s="18"/>
      <c r="AL756" s="19"/>
      <c r="AW756" s="21"/>
    </row>
    <row r="757" spans="1:49" ht="13.2">
      <c r="A757" s="7"/>
      <c r="B757" s="7"/>
      <c r="G757" s="20"/>
      <c r="H757" s="6"/>
      <c r="I757" s="6"/>
      <c r="Q757" s="18"/>
      <c r="S757" s="18"/>
      <c r="AL757" s="19"/>
      <c r="AW757" s="21"/>
    </row>
    <row r="758" spans="1:49" ht="13.2">
      <c r="A758" s="7"/>
      <c r="B758" s="7"/>
      <c r="G758" s="20"/>
      <c r="H758" s="6"/>
      <c r="I758" s="6"/>
      <c r="Q758" s="18"/>
      <c r="S758" s="18"/>
      <c r="AL758" s="19"/>
      <c r="AW758" s="21"/>
    </row>
    <row r="759" spans="1:49" ht="13.2">
      <c r="A759" s="7"/>
      <c r="B759" s="7"/>
      <c r="G759" s="20"/>
      <c r="H759" s="6"/>
      <c r="I759" s="6"/>
      <c r="Q759" s="18"/>
      <c r="S759" s="18"/>
      <c r="AL759" s="19"/>
      <c r="AW759" s="21"/>
    </row>
    <row r="760" spans="1:49" ht="13.2">
      <c r="A760" s="7"/>
      <c r="B760" s="7"/>
      <c r="G760" s="20"/>
      <c r="H760" s="6"/>
      <c r="I760" s="6"/>
      <c r="Q760" s="18"/>
      <c r="S760" s="18"/>
      <c r="AL760" s="19"/>
      <c r="AW760" s="21"/>
    </row>
    <row r="761" spans="1:49" ht="13.2">
      <c r="A761" s="7"/>
      <c r="B761" s="7"/>
      <c r="G761" s="20"/>
      <c r="H761" s="6"/>
      <c r="I761" s="6"/>
      <c r="Q761" s="18"/>
      <c r="S761" s="18"/>
      <c r="AL761" s="19"/>
      <c r="AW761" s="21"/>
    </row>
    <row r="762" spans="1:49" ht="13.2">
      <c r="A762" s="7"/>
      <c r="B762" s="7"/>
      <c r="G762" s="20"/>
      <c r="H762" s="6"/>
      <c r="I762" s="6"/>
      <c r="Q762" s="18"/>
      <c r="S762" s="18"/>
      <c r="AL762" s="19"/>
      <c r="AW762" s="21"/>
    </row>
    <row r="763" spans="1:49" ht="13.2">
      <c r="A763" s="7"/>
      <c r="B763" s="7"/>
      <c r="G763" s="20"/>
      <c r="H763" s="6"/>
      <c r="I763" s="6"/>
      <c r="Q763" s="18"/>
      <c r="S763" s="18"/>
      <c r="AL763" s="19"/>
      <c r="AW763" s="21"/>
    </row>
    <row r="764" spans="1:49" ht="13.2">
      <c r="A764" s="7"/>
      <c r="B764" s="7"/>
      <c r="G764" s="20"/>
      <c r="H764" s="6"/>
      <c r="I764" s="6"/>
      <c r="Q764" s="18"/>
      <c r="S764" s="18"/>
      <c r="AL764" s="19"/>
      <c r="AW764" s="21"/>
    </row>
    <row r="765" spans="1:49" ht="13.2">
      <c r="A765" s="7"/>
      <c r="B765" s="7"/>
      <c r="G765" s="20"/>
      <c r="H765" s="6"/>
      <c r="I765" s="6"/>
      <c r="Q765" s="18"/>
      <c r="S765" s="18"/>
      <c r="AL765" s="19"/>
      <c r="AW765" s="21"/>
    </row>
    <row r="766" spans="1:49" ht="13.2">
      <c r="A766" s="7"/>
      <c r="B766" s="7"/>
      <c r="G766" s="20"/>
      <c r="H766" s="6"/>
      <c r="I766" s="6"/>
      <c r="Q766" s="18"/>
      <c r="S766" s="18"/>
      <c r="AL766" s="19"/>
      <c r="AW766" s="21"/>
    </row>
    <row r="767" spans="1:49" ht="13.2">
      <c r="A767" s="7"/>
      <c r="B767" s="7"/>
      <c r="G767" s="20"/>
      <c r="H767" s="6"/>
      <c r="I767" s="6"/>
      <c r="Q767" s="18"/>
      <c r="S767" s="18"/>
      <c r="AL767" s="19"/>
      <c r="AW767" s="21"/>
    </row>
    <row r="768" spans="1:49" ht="13.2">
      <c r="A768" s="7"/>
      <c r="B768" s="7"/>
      <c r="G768" s="20"/>
      <c r="H768" s="6"/>
      <c r="I768" s="6"/>
      <c r="Q768" s="18"/>
      <c r="S768" s="18"/>
      <c r="AL768" s="19"/>
      <c r="AW768" s="21"/>
    </row>
    <row r="769" spans="1:49" ht="13.2">
      <c r="A769" s="7"/>
      <c r="B769" s="7"/>
      <c r="G769" s="20"/>
      <c r="H769" s="6"/>
      <c r="I769" s="6"/>
      <c r="Q769" s="18"/>
      <c r="S769" s="18"/>
      <c r="AL769" s="19"/>
      <c r="AW769" s="21"/>
    </row>
    <row r="770" spans="1:49" ht="13.2">
      <c r="A770" s="7"/>
      <c r="B770" s="7"/>
      <c r="G770" s="20"/>
      <c r="H770" s="6"/>
      <c r="I770" s="6"/>
      <c r="Q770" s="18"/>
      <c r="S770" s="18"/>
      <c r="AL770" s="19"/>
      <c r="AW770" s="21"/>
    </row>
    <row r="771" spans="1:49" ht="13.2">
      <c r="A771" s="7"/>
      <c r="B771" s="7"/>
      <c r="G771" s="20"/>
      <c r="H771" s="6"/>
      <c r="I771" s="6"/>
      <c r="Q771" s="18"/>
      <c r="S771" s="18"/>
      <c r="AL771" s="19"/>
      <c r="AW771" s="21"/>
    </row>
    <row r="772" spans="1:49" ht="13.2">
      <c r="A772" s="7"/>
      <c r="B772" s="7"/>
      <c r="G772" s="20"/>
      <c r="H772" s="6"/>
      <c r="I772" s="6"/>
      <c r="Q772" s="18"/>
      <c r="S772" s="18"/>
      <c r="AL772" s="19"/>
      <c r="AW772" s="21"/>
    </row>
    <row r="773" spans="1:49" ht="13.2">
      <c r="A773" s="7"/>
      <c r="B773" s="7"/>
      <c r="G773" s="20"/>
      <c r="H773" s="6"/>
      <c r="I773" s="6"/>
      <c r="Q773" s="18"/>
      <c r="S773" s="18"/>
      <c r="AL773" s="19"/>
      <c r="AW773" s="21"/>
    </row>
    <row r="774" spans="1:49" ht="13.2">
      <c r="A774" s="7"/>
      <c r="B774" s="7"/>
      <c r="G774" s="20"/>
      <c r="H774" s="6"/>
      <c r="I774" s="6"/>
      <c r="Q774" s="18"/>
      <c r="S774" s="18"/>
      <c r="AL774" s="19"/>
      <c r="AW774" s="21"/>
    </row>
    <row r="775" spans="1:49" ht="13.2">
      <c r="A775" s="7"/>
      <c r="B775" s="7"/>
      <c r="G775" s="20"/>
      <c r="H775" s="6"/>
      <c r="I775" s="6"/>
      <c r="Q775" s="18"/>
      <c r="S775" s="18"/>
      <c r="AL775" s="19"/>
      <c r="AW775" s="21"/>
    </row>
    <row r="776" spans="1:49" ht="13.2">
      <c r="A776" s="7"/>
      <c r="B776" s="7"/>
      <c r="G776" s="20"/>
      <c r="H776" s="6"/>
      <c r="I776" s="6"/>
      <c r="Q776" s="18"/>
      <c r="S776" s="18"/>
      <c r="AL776" s="19"/>
      <c r="AW776" s="21"/>
    </row>
    <row r="777" spans="1:49" ht="13.2">
      <c r="A777" s="7"/>
      <c r="B777" s="7"/>
      <c r="G777" s="20"/>
      <c r="H777" s="6"/>
      <c r="I777" s="6"/>
      <c r="Q777" s="18"/>
      <c r="S777" s="18"/>
      <c r="AL777" s="19"/>
      <c r="AW777" s="21"/>
    </row>
    <row r="778" spans="1:49" ht="13.2">
      <c r="A778" s="7"/>
      <c r="B778" s="7"/>
      <c r="G778" s="20"/>
      <c r="H778" s="6"/>
      <c r="I778" s="6"/>
      <c r="Q778" s="18"/>
      <c r="S778" s="18"/>
      <c r="AL778" s="19"/>
      <c r="AW778" s="21"/>
    </row>
    <row r="779" spans="1:49" ht="13.2">
      <c r="A779" s="7"/>
      <c r="B779" s="7"/>
      <c r="G779" s="20"/>
      <c r="H779" s="6"/>
      <c r="I779" s="6"/>
      <c r="Q779" s="18"/>
      <c r="S779" s="18"/>
      <c r="AL779" s="19"/>
      <c r="AW779" s="21"/>
    </row>
    <row r="780" spans="1:49" ht="13.2">
      <c r="A780" s="7"/>
      <c r="B780" s="7"/>
      <c r="G780" s="20"/>
      <c r="H780" s="6"/>
      <c r="I780" s="6"/>
      <c r="Q780" s="18"/>
      <c r="S780" s="18"/>
      <c r="AL780" s="19"/>
      <c r="AW780" s="21"/>
    </row>
    <row r="781" spans="1:49" ht="13.2">
      <c r="A781" s="7"/>
      <c r="B781" s="7"/>
      <c r="G781" s="20"/>
      <c r="H781" s="6"/>
      <c r="I781" s="6"/>
      <c r="Q781" s="18"/>
      <c r="S781" s="18"/>
      <c r="AL781" s="19"/>
      <c r="AW781" s="21"/>
    </row>
    <row r="782" spans="1:49" ht="13.2">
      <c r="A782" s="7"/>
      <c r="B782" s="7"/>
      <c r="G782" s="20"/>
      <c r="H782" s="6"/>
      <c r="I782" s="6"/>
      <c r="Q782" s="18"/>
      <c r="S782" s="18"/>
      <c r="AL782" s="19"/>
      <c r="AW782" s="21"/>
    </row>
    <row r="783" spans="1:49" ht="13.2">
      <c r="A783" s="7"/>
      <c r="B783" s="7"/>
      <c r="G783" s="20"/>
      <c r="H783" s="6"/>
      <c r="I783" s="6"/>
      <c r="Q783" s="18"/>
      <c r="S783" s="18"/>
      <c r="AL783" s="19"/>
      <c r="AW783" s="21"/>
    </row>
    <row r="784" spans="1:49" ht="13.2">
      <c r="A784" s="7"/>
      <c r="B784" s="7"/>
      <c r="G784" s="20"/>
      <c r="H784" s="6"/>
      <c r="I784" s="6"/>
      <c r="Q784" s="18"/>
      <c r="S784" s="18"/>
      <c r="AL784" s="19"/>
      <c r="AW784" s="21"/>
    </row>
    <row r="785" spans="1:49" ht="13.2">
      <c r="A785" s="7"/>
      <c r="B785" s="7"/>
      <c r="G785" s="20"/>
      <c r="H785" s="6"/>
      <c r="I785" s="6"/>
      <c r="Q785" s="18"/>
      <c r="S785" s="18"/>
      <c r="AL785" s="19"/>
      <c r="AW785" s="21"/>
    </row>
    <row r="786" spans="1:49" ht="13.2">
      <c r="A786" s="7"/>
      <c r="B786" s="7"/>
      <c r="G786" s="20"/>
      <c r="H786" s="6"/>
      <c r="I786" s="6"/>
      <c r="Q786" s="18"/>
      <c r="S786" s="18"/>
      <c r="AL786" s="19"/>
      <c r="AW786" s="21"/>
    </row>
    <row r="787" spans="1:49" ht="13.2">
      <c r="A787" s="7"/>
      <c r="B787" s="7"/>
      <c r="G787" s="20"/>
      <c r="H787" s="6"/>
      <c r="I787" s="6"/>
      <c r="Q787" s="18"/>
      <c r="S787" s="18"/>
      <c r="AL787" s="19"/>
      <c r="AW787" s="21"/>
    </row>
    <row r="788" spans="1:49" ht="13.2">
      <c r="A788" s="7"/>
      <c r="B788" s="7"/>
      <c r="G788" s="20"/>
      <c r="H788" s="6"/>
      <c r="I788" s="6"/>
      <c r="Q788" s="18"/>
      <c r="S788" s="18"/>
      <c r="AL788" s="19"/>
      <c r="AW788" s="21"/>
    </row>
    <row r="789" spans="1:49" ht="13.2">
      <c r="A789" s="7"/>
      <c r="B789" s="7"/>
      <c r="G789" s="20"/>
      <c r="H789" s="6"/>
      <c r="I789" s="6"/>
      <c r="Q789" s="18"/>
      <c r="S789" s="18"/>
      <c r="AL789" s="19"/>
      <c r="AW789" s="21"/>
    </row>
    <row r="790" spans="1:49" ht="13.2">
      <c r="A790" s="7"/>
      <c r="B790" s="7"/>
      <c r="G790" s="20"/>
      <c r="H790" s="6"/>
      <c r="I790" s="6"/>
      <c r="Q790" s="18"/>
      <c r="S790" s="18"/>
      <c r="AL790" s="19"/>
      <c r="AW790" s="21"/>
    </row>
    <row r="791" spans="1:49" ht="13.2">
      <c r="A791" s="7"/>
      <c r="B791" s="7"/>
      <c r="G791" s="20"/>
      <c r="H791" s="6"/>
      <c r="I791" s="6"/>
      <c r="Q791" s="18"/>
      <c r="S791" s="18"/>
      <c r="AL791" s="19"/>
      <c r="AW791" s="21"/>
    </row>
    <row r="792" spans="1:49" ht="13.2">
      <c r="A792" s="7"/>
      <c r="B792" s="7"/>
      <c r="G792" s="20"/>
      <c r="H792" s="6"/>
      <c r="I792" s="6"/>
      <c r="Q792" s="18"/>
      <c r="S792" s="18"/>
      <c r="AL792" s="19"/>
      <c r="AW792" s="21"/>
    </row>
    <row r="793" spans="1:49" ht="13.2">
      <c r="A793" s="7"/>
      <c r="B793" s="7"/>
      <c r="G793" s="20"/>
      <c r="H793" s="6"/>
      <c r="I793" s="6"/>
      <c r="Q793" s="18"/>
      <c r="S793" s="18"/>
      <c r="AL793" s="19"/>
      <c r="AW793" s="21"/>
    </row>
    <row r="794" spans="1:49" ht="13.2">
      <c r="A794" s="7"/>
      <c r="B794" s="7"/>
      <c r="G794" s="20"/>
      <c r="H794" s="6"/>
      <c r="I794" s="6"/>
      <c r="Q794" s="18"/>
      <c r="S794" s="18"/>
      <c r="AL794" s="19"/>
      <c r="AW794" s="21"/>
    </row>
    <row r="795" spans="1:49" ht="13.2">
      <c r="A795" s="7"/>
      <c r="B795" s="7"/>
      <c r="G795" s="20"/>
      <c r="H795" s="6"/>
      <c r="I795" s="6"/>
      <c r="Q795" s="18"/>
      <c r="S795" s="18"/>
      <c r="AL795" s="19"/>
      <c r="AW795" s="21"/>
    </row>
    <row r="796" spans="1:49" ht="13.2">
      <c r="A796" s="7"/>
      <c r="B796" s="7"/>
      <c r="G796" s="20"/>
      <c r="H796" s="6"/>
      <c r="I796" s="6"/>
      <c r="Q796" s="18"/>
      <c r="S796" s="18"/>
      <c r="AL796" s="19"/>
      <c r="AW796" s="21"/>
    </row>
    <row r="797" spans="1:49" ht="13.2">
      <c r="A797" s="7"/>
      <c r="B797" s="7"/>
      <c r="G797" s="20"/>
      <c r="H797" s="6"/>
      <c r="I797" s="6"/>
      <c r="Q797" s="18"/>
      <c r="S797" s="18"/>
      <c r="AL797" s="19"/>
      <c r="AW797" s="21"/>
    </row>
    <row r="798" spans="1:49" ht="13.2">
      <c r="A798" s="7"/>
      <c r="B798" s="7"/>
      <c r="G798" s="20"/>
      <c r="H798" s="6"/>
      <c r="I798" s="6"/>
      <c r="Q798" s="18"/>
      <c r="S798" s="18"/>
      <c r="AL798" s="19"/>
      <c r="AW798" s="21"/>
    </row>
    <row r="799" spans="1:49" ht="13.2">
      <c r="A799" s="7"/>
      <c r="B799" s="7"/>
      <c r="G799" s="20"/>
      <c r="H799" s="6"/>
      <c r="I799" s="6"/>
      <c r="Q799" s="18"/>
      <c r="S799" s="18"/>
      <c r="AL799" s="19"/>
      <c r="AW799" s="21"/>
    </row>
    <row r="800" spans="1:49" ht="13.2">
      <c r="A800" s="7"/>
      <c r="B800" s="7"/>
      <c r="G800" s="20"/>
      <c r="H800" s="6"/>
      <c r="I800" s="6"/>
      <c r="Q800" s="18"/>
      <c r="S800" s="18"/>
      <c r="AL800" s="19"/>
      <c r="AW800" s="21"/>
    </row>
    <row r="801" spans="1:49" ht="13.2">
      <c r="A801" s="7"/>
      <c r="B801" s="7"/>
      <c r="G801" s="20"/>
      <c r="H801" s="6"/>
      <c r="I801" s="6"/>
      <c r="Q801" s="18"/>
      <c r="S801" s="18"/>
      <c r="AL801" s="19"/>
      <c r="AW801" s="21"/>
    </row>
    <row r="802" spans="1:49" ht="13.2">
      <c r="A802" s="7"/>
      <c r="B802" s="7"/>
      <c r="G802" s="20"/>
      <c r="H802" s="6"/>
      <c r="I802" s="6"/>
      <c r="Q802" s="18"/>
      <c r="S802" s="18"/>
      <c r="AL802" s="19"/>
      <c r="AW802" s="21"/>
    </row>
    <row r="803" spans="1:49" ht="13.2">
      <c r="A803" s="7"/>
      <c r="B803" s="7"/>
      <c r="G803" s="20"/>
      <c r="H803" s="6"/>
      <c r="I803" s="6"/>
      <c r="Q803" s="18"/>
      <c r="S803" s="18"/>
      <c r="AL803" s="19"/>
      <c r="AW803" s="21"/>
    </row>
    <row r="804" spans="1:49" ht="13.2">
      <c r="A804" s="7"/>
      <c r="B804" s="7"/>
      <c r="G804" s="20"/>
      <c r="H804" s="6"/>
      <c r="I804" s="6"/>
      <c r="Q804" s="18"/>
      <c r="S804" s="18"/>
      <c r="AL804" s="19"/>
      <c r="AW804" s="21"/>
    </row>
    <row r="805" spans="1:49" ht="13.2">
      <c r="A805" s="7"/>
      <c r="B805" s="7"/>
      <c r="G805" s="20"/>
      <c r="H805" s="6"/>
      <c r="I805" s="6"/>
      <c r="Q805" s="18"/>
      <c r="S805" s="18"/>
      <c r="AL805" s="19"/>
      <c r="AW805" s="21"/>
    </row>
    <row r="806" spans="1:49" ht="13.2">
      <c r="A806" s="7"/>
      <c r="B806" s="7"/>
      <c r="G806" s="20"/>
      <c r="H806" s="6"/>
      <c r="I806" s="6"/>
      <c r="Q806" s="18"/>
      <c r="S806" s="18"/>
      <c r="AL806" s="19"/>
      <c r="AW806" s="21"/>
    </row>
    <row r="807" spans="1:49" ht="13.2">
      <c r="A807" s="7"/>
      <c r="B807" s="7"/>
      <c r="G807" s="20"/>
      <c r="H807" s="6"/>
      <c r="I807" s="6"/>
      <c r="Q807" s="18"/>
      <c r="S807" s="18"/>
      <c r="AL807" s="19"/>
      <c r="AW807" s="21"/>
    </row>
    <row r="808" spans="1:49" ht="13.2">
      <c r="A808" s="7"/>
      <c r="B808" s="7"/>
      <c r="G808" s="20"/>
      <c r="H808" s="6"/>
      <c r="I808" s="6"/>
      <c r="Q808" s="18"/>
      <c r="S808" s="18"/>
      <c r="AL808" s="19"/>
      <c r="AW808" s="21"/>
    </row>
    <row r="809" spans="1:49" ht="13.2">
      <c r="A809" s="7"/>
      <c r="B809" s="7"/>
      <c r="G809" s="20"/>
      <c r="H809" s="6"/>
      <c r="I809" s="6"/>
      <c r="Q809" s="18"/>
      <c r="S809" s="18"/>
      <c r="AL809" s="19"/>
      <c r="AW809" s="21"/>
    </row>
    <row r="810" spans="1:49" ht="13.2">
      <c r="A810" s="7"/>
      <c r="B810" s="7"/>
      <c r="G810" s="20"/>
      <c r="H810" s="6"/>
      <c r="I810" s="6"/>
      <c r="Q810" s="18"/>
      <c r="S810" s="18"/>
      <c r="AL810" s="19"/>
      <c r="AW810" s="21"/>
    </row>
    <row r="811" spans="1:49" ht="13.2">
      <c r="A811" s="7"/>
      <c r="B811" s="7"/>
      <c r="G811" s="20"/>
      <c r="H811" s="6"/>
      <c r="I811" s="6"/>
      <c r="Q811" s="18"/>
      <c r="S811" s="18"/>
      <c r="AL811" s="19"/>
      <c r="AW811" s="21"/>
    </row>
    <row r="812" spans="1:49" ht="13.2">
      <c r="A812" s="7"/>
      <c r="B812" s="7"/>
      <c r="G812" s="20"/>
      <c r="H812" s="6"/>
      <c r="I812" s="6"/>
      <c r="Q812" s="18"/>
      <c r="S812" s="18"/>
      <c r="AL812" s="19"/>
      <c r="AW812" s="21"/>
    </row>
    <row r="813" spans="1:49" ht="13.2">
      <c r="A813" s="7"/>
      <c r="B813" s="7"/>
      <c r="G813" s="20"/>
      <c r="H813" s="6"/>
      <c r="I813" s="6"/>
      <c r="Q813" s="18"/>
      <c r="S813" s="18"/>
      <c r="AL813" s="19"/>
      <c r="AW813" s="21"/>
    </row>
    <row r="814" spans="1:49" ht="13.2">
      <c r="A814" s="7"/>
      <c r="B814" s="7"/>
      <c r="G814" s="20"/>
      <c r="H814" s="6"/>
      <c r="I814" s="6"/>
      <c r="Q814" s="18"/>
      <c r="S814" s="18"/>
      <c r="AL814" s="19"/>
      <c r="AW814" s="21"/>
    </row>
    <row r="815" spans="1:49" ht="13.2">
      <c r="A815" s="7"/>
      <c r="B815" s="7"/>
      <c r="G815" s="20"/>
      <c r="H815" s="6"/>
      <c r="I815" s="6"/>
      <c r="Q815" s="18"/>
      <c r="S815" s="18"/>
      <c r="AL815" s="19"/>
      <c r="AW815" s="21"/>
    </row>
    <row r="816" spans="1:49" ht="13.2">
      <c r="A816" s="7"/>
      <c r="B816" s="7"/>
      <c r="G816" s="20"/>
      <c r="H816" s="6"/>
      <c r="I816" s="6"/>
      <c r="Q816" s="18"/>
      <c r="S816" s="18"/>
      <c r="AL816" s="19"/>
      <c r="AW816" s="21"/>
    </row>
    <row r="817" spans="1:49" ht="13.2">
      <c r="A817" s="7"/>
      <c r="B817" s="7"/>
      <c r="G817" s="20"/>
      <c r="H817" s="6"/>
      <c r="I817" s="6"/>
      <c r="Q817" s="18"/>
      <c r="S817" s="18"/>
      <c r="AL817" s="19"/>
      <c r="AW817" s="21"/>
    </row>
    <row r="818" spans="1:49" ht="13.2">
      <c r="A818" s="7"/>
      <c r="B818" s="7"/>
      <c r="G818" s="20"/>
      <c r="H818" s="6"/>
      <c r="I818" s="6"/>
      <c r="Q818" s="18"/>
      <c r="S818" s="18"/>
      <c r="AL818" s="19"/>
      <c r="AW818" s="21"/>
    </row>
    <row r="819" spans="1:49" ht="13.2">
      <c r="A819" s="7"/>
      <c r="B819" s="7"/>
      <c r="G819" s="20"/>
      <c r="H819" s="6"/>
      <c r="I819" s="6"/>
      <c r="Q819" s="18"/>
      <c r="S819" s="18"/>
      <c r="AL819" s="19"/>
      <c r="AW819" s="21"/>
    </row>
    <row r="820" spans="1:49" ht="13.2">
      <c r="A820" s="7"/>
      <c r="B820" s="7"/>
      <c r="G820" s="20"/>
      <c r="H820" s="6"/>
      <c r="I820" s="6"/>
      <c r="Q820" s="18"/>
      <c r="S820" s="18"/>
      <c r="AL820" s="19"/>
      <c r="AW820" s="21"/>
    </row>
    <row r="821" spans="1:49" ht="13.2">
      <c r="A821" s="7"/>
      <c r="B821" s="7"/>
      <c r="G821" s="20"/>
      <c r="H821" s="6"/>
      <c r="I821" s="6"/>
      <c r="Q821" s="18"/>
      <c r="S821" s="18"/>
      <c r="AL821" s="19"/>
      <c r="AW821" s="21"/>
    </row>
    <row r="822" spans="1:49" ht="13.2">
      <c r="A822" s="7"/>
      <c r="B822" s="7"/>
      <c r="G822" s="20"/>
      <c r="H822" s="6"/>
      <c r="I822" s="6"/>
      <c r="Q822" s="18"/>
      <c r="S822" s="18"/>
      <c r="AL822" s="19"/>
      <c r="AW822" s="21"/>
    </row>
    <row r="823" spans="1:49" ht="13.2">
      <c r="A823" s="7"/>
      <c r="B823" s="7"/>
      <c r="G823" s="20"/>
      <c r="H823" s="6"/>
      <c r="I823" s="6"/>
      <c r="Q823" s="18"/>
      <c r="S823" s="18"/>
      <c r="AL823" s="19"/>
      <c r="AW823" s="21"/>
    </row>
    <row r="824" spans="1:49" ht="13.2">
      <c r="A824" s="7"/>
      <c r="B824" s="7"/>
      <c r="G824" s="20"/>
      <c r="H824" s="6"/>
      <c r="I824" s="6"/>
      <c r="Q824" s="18"/>
      <c r="S824" s="18"/>
      <c r="AL824" s="19"/>
      <c r="AW824" s="21"/>
    </row>
    <row r="825" spans="1:49" ht="13.2">
      <c r="A825" s="7"/>
      <c r="B825" s="7"/>
      <c r="G825" s="20"/>
      <c r="H825" s="6"/>
      <c r="I825" s="6"/>
      <c r="Q825" s="18"/>
      <c r="S825" s="18"/>
      <c r="AL825" s="19"/>
      <c r="AW825" s="21"/>
    </row>
    <row r="826" spans="1:49" ht="13.2">
      <c r="A826" s="7"/>
      <c r="B826" s="7"/>
      <c r="G826" s="20"/>
      <c r="H826" s="6"/>
      <c r="I826" s="6"/>
      <c r="Q826" s="18"/>
      <c r="S826" s="18"/>
      <c r="AL826" s="19"/>
      <c r="AW826" s="21"/>
    </row>
    <row r="827" spans="1:49" ht="13.2">
      <c r="A827" s="7"/>
      <c r="B827" s="7"/>
      <c r="G827" s="20"/>
      <c r="H827" s="6"/>
      <c r="I827" s="6"/>
      <c r="Q827" s="18"/>
      <c r="S827" s="18"/>
      <c r="AL827" s="19"/>
      <c r="AW827" s="21"/>
    </row>
    <row r="828" spans="1:49" ht="13.2">
      <c r="A828" s="7"/>
      <c r="B828" s="7"/>
      <c r="G828" s="20"/>
      <c r="H828" s="6"/>
      <c r="I828" s="6"/>
      <c r="Q828" s="18"/>
      <c r="S828" s="18"/>
      <c r="AL828" s="19"/>
      <c r="AW828" s="21"/>
    </row>
    <row r="829" spans="1:49" ht="13.2">
      <c r="A829" s="7"/>
      <c r="B829" s="7"/>
      <c r="G829" s="20"/>
      <c r="H829" s="6"/>
      <c r="I829" s="6"/>
      <c r="Q829" s="18"/>
      <c r="S829" s="18"/>
      <c r="AL829" s="19"/>
      <c r="AW829" s="21"/>
    </row>
    <row r="830" spans="1:49" ht="13.2">
      <c r="A830" s="7"/>
      <c r="B830" s="7"/>
      <c r="G830" s="20"/>
      <c r="H830" s="6"/>
      <c r="I830" s="6"/>
      <c r="Q830" s="18"/>
      <c r="S830" s="18"/>
      <c r="AL830" s="19"/>
      <c r="AW830" s="21"/>
    </row>
    <row r="831" spans="1:49" ht="13.2">
      <c r="A831" s="7"/>
      <c r="B831" s="7"/>
      <c r="G831" s="20"/>
      <c r="H831" s="6"/>
      <c r="I831" s="6"/>
      <c r="Q831" s="18"/>
      <c r="S831" s="18"/>
      <c r="AL831" s="19"/>
      <c r="AW831" s="21"/>
    </row>
    <row r="832" spans="1:49" ht="13.2">
      <c r="A832" s="7"/>
      <c r="B832" s="7"/>
      <c r="G832" s="20"/>
      <c r="H832" s="6"/>
      <c r="I832" s="6"/>
      <c r="Q832" s="18"/>
      <c r="S832" s="18"/>
      <c r="AL832" s="19"/>
      <c r="AW832" s="21"/>
    </row>
    <row r="833" spans="1:49" ht="13.2">
      <c r="A833" s="7"/>
      <c r="B833" s="7"/>
      <c r="G833" s="20"/>
      <c r="H833" s="6"/>
      <c r="I833" s="6"/>
      <c r="Q833" s="18"/>
      <c r="S833" s="18"/>
      <c r="AL833" s="19"/>
      <c r="AW833" s="21"/>
    </row>
    <row r="834" spans="1:49" ht="13.2">
      <c r="A834" s="7"/>
      <c r="B834" s="7"/>
      <c r="G834" s="20"/>
      <c r="H834" s="6"/>
      <c r="I834" s="6"/>
      <c r="Q834" s="18"/>
      <c r="S834" s="18"/>
      <c r="AL834" s="19"/>
      <c r="AW834" s="21"/>
    </row>
    <row r="835" spans="1:49" ht="13.2">
      <c r="A835" s="7"/>
      <c r="B835" s="7"/>
      <c r="G835" s="20"/>
      <c r="H835" s="6"/>
      <c r="I835" s="6"/>
      <c r="Q835" s="18"/>
      <c r="S835" s="18"/>
      <c r="AL835" s="19"/>
      <c r="AW835" s="21"/>
    </row>
    <row r="836" spans="1:49" ht="13.2">
      <c r="A836" s="7"/>
      <c r="B836" s="7"/>
      <c r="G836" s="20"/>
      <c r="H836" s="6"/>
      <c r="I836" s="6"/>
      <c r="Q836" s="18"/>
      <c r="S836" s="18"/>
      <c r="AL836" s="19"/>
      <c r="AW836" s="21"/>
    </row>
    <row r="837" spans="1:49" ht="13.2">
      <c r="A837" s="7"/>
      <c r="B837" s="7"/>
      <c r="G837" s="20"/>
      <c r="H837" s="6"/>
      <c r="I837" s="6"/>
      <c r="Q837" s="18"/>
      <c r="S837" s="18"/>
      <c r="AL837" s="19"/>
      <c r="AW837" s="21"/>
    </row>
    <row r="838" spans="1:49" ht="13.2">
      <c r="A838" s="7"/>
      <c r="B838" s="7"/>
      <c r="G838" s="20"/>
      <c r="H838" s="6"/>
      <c r="I838" s="6"/>
      <c r="Q838" s="18"/>
      <c r="S838" s="18"/>
      <c r="AL838" s="19"/>
      <c r="AW838" s="21"/>
    </row>
    <row r="839" spans="1:49" ht="13.2">
      <c r="A839" s="7"/>
      <c r="B839" s="7"/>
      <c r="G839" s="20"/>
      <c r="H839" s="6"/>
      <c r="I839" s="6"/>
      <c r="Q839" s="18"/>
      <c r="S839" s="18"/>
      <c r="AL839" s="19"/>
      <c r="AW839" s="21"/>
    </row>
    <row r="840" spans="1:49" ht="13.2">
      <c r="A840" s="7"/>
      <c r="B840" s="7"/>
      <c r="G840" s="20"/>
      <c r="H840" s="6"/>
      <c r="I840" s="6"/>
      <c r="Q840" s="18"/>
      <c r="S840" s="18"/>
      <c r="AL840" s="19"/>
      <c r="AW840" s="21"/>
    </row>
    <row r="841" spans="1:49" ht="13.2">
      <c r="A841" s="7"/>
      <c r="B841" s="7"/>
      <c r="G841" s="20"/>
      <c r="H841" s="6"/>
      <c r="I841" s="6"/>
      <c r="Q841" s="18"/>
      <c r="S841" s="18"/>
      <c r="AL841" s="19"/>
      <c r="AW841" s="21"/>
    </row>
    <row r="842" spans="1:49" ht="13.2">
      <c r="A842" s="7"/>
      <c r="B842" s="7"/>
      <c r="G842" s="20"/>
      <c r="H842" s="6"/>
      <c r="I842" s="6"/>
      <c r="Q842" s="18"/>
      <c r="S842" s="18"/>
      <c r="AL842" s="19"/>
      <c r="AW842" s="21"/>
    </row>
    <row r="843" spans="1:49" ht="13.2">
      <c r="A843" s="7"/>
      <c r="B843" s="7"/>
      <c r="G843" s="20"/>
      <c r="H843" s="6"/>
      <c r="I843" s="6"/>
      <c r="Q843" s="18"/>
      <c r="S843" s="18"/>
      <c r="AL843" s="19"/>
      <c r="AW843" s="21"/>
    </row>
    <row r="844" spans="1:49" ht="13.2">
      <c r="A844" s="7"/>
      <c r="B844" s="7"/>
      <c r="G844" s="20"/>
      <c r="H844" s="6"/>
      <c r="I844" s="6"/>
      <c r="Q844" s="18"/>
      <c r="S844" s="18"/>
      <c r="AL844" s="19"/>
      <c r="AW844" s="21"/>
    </row>
    <row r="845" spans="1:49" ht="13.2">
      <c r="A845" s="7"/>
      <c r="B845" s="7"/>
      <c r="G845" s="20"/>
      <c r="H845" s="6"/>
      <c r="I845" s="6"/>
      <c r="Q845" s="18"/>
      <c r="S845" s="18"/>
      <c r="AL845" s="19"/>
      <c r="AW845" s="21"/>
    </row>
    <row r="846" spans="1:49" ht="13.2">
      <c r="A846" s="7"/>
      <c r="B846" s="7"/>
      <c r="G846" s="20"/>
      <c r="H846" s="6"/>
      <c r="I846" s="6"/>
      <c r="Q846" s="18"/>
      <c r="S846" s="18"/>
      <c r="AL846" s="19"/>
      <c r="AW846" s="21"/>
    </row>
    <row r="847" spans="1:49" ht="13.2">
      <c r="A847" s="7"/>
      <c r="B847" s="7"/>
      <c r="G847" s="20"/>
      <c r="H847" s="6"/>
      <c r="I847" s="6"/>
      <c r="Q847" s="18"/>
      <c r="S847" s="18"/>
      <c r="AL847" s="19"/>
      <c r="AW847" s="21"/>
    </row>
    <row r="848" spans="1:49" ht="13.2">
      <c r="A848" s="7"/>
      <c r="B848" s="7"/>
      <c r="G848" s="20"/>
      <c r="H848" s="6"/>
      <c r="I848" s="6"/>
      <c r="Q848" s="18"/>
      <c r="S848" s="18"/>
      <c r="AL848" s="19"/>
      <c r="AW848" s="21"/>
    </row>
    <row r="849" spans="1:49" ht="13.2">
      <c r="A849" s="7"/>
      <c r="B849" s="7"/>
      <c r="G849" s="20"/>
      <c r="H849" s="6"/>
      <c r="I849" s="6"/>
      <c r="Q849" s="18"/>
      <c r="S849" s="18"/>
      <c r="AL849" s="19"/>
      <c r="AW849" s="21"/>
    </row>
    <row r="850" spans="1:49" ht="13.2">
      <c r="A850" s="7"/>
      <c r="B850" s="7"/>
      <c r="G850" s="20"/>
      <c r="H850" s="6"/>
      <c r="I850" s="6"/>
      <c r="Q850" s="18"/>
      <c r="S850" s="18"/>
      <c r="AL850" s="19"/>
      <c r="AW850" s="21"/>
    </row>
    <row r="851" spans="1:49" ht="13.2">
      <c r="A851" s="7"/>
      <c r="B851" s="7"/>
      <c r="G851" s="20"/>
      <c r="H851" s="6"/>
      <c r="I851" s="6"/>
      <c r="Q851" s="18"/>
      <c r="S851" s="18"/>
      <c r="AL851" s="19"/>
      <c r="AW851" s="21"/>
    </row>
    <row r="852" spans="1:49" ht="13.2">
      <c r="A852" s="7"/>
      <c r="B852" s="7"/>
      <c r="G852" s="20"/>
      <c r="H852" s="6"/>
      <c r="I852" s="6"/>
      <c r="Q852" s="18"/>
      <c r="S852" s="18"/>
      <c r="AL852" s="19"/>
      <c r="AW852" s="21"/>
    </row>
    <row r="853" spans="1:49" ht="13.2">
      <c r="A853" s="7"/>
      <c r="B853" s="7"/>
      <c r="G853" s="20"/>
      <c r="H853" s="6"/>
      <c r="I853" s="6"/>
      <c r="Q853" s="18"/>
      <c r="S853" s="18"/>
      <c r="AL853" s="19"/>
      <c r="AW853" s="21"/>
    </row>
    <row r="854" spans="1:49" ht="13.2">
      <c r="A854" s="7"/>
      <c r="B854" s="7"/>
      <c r="G854" s="20"/>
      <c r="H854" s="6"/>
      <c r="I854" s="6"/>
      <c r="Q854" s="18"/>
      <c r="S854" s="18"/>
      <c r="AL854" s="19"/>
      <c r="AW854" s="21"/>
    </row>
    <row r="855" spans="1:49" ht="13.2">
      <c r="A855" s="7"/>
      <c r="B855" s="7"/>
      <c r="G855" s="20"/>
      <c r="H855" s="6"/>
      <c r="I855" s="6"/>
      <c r="Q855" s="18"/>
      <c r="S855" s="18"/>
      <c r="AL855" s="19"/>
      <c r="AW855" s="21"/>
    </row>
    <row r="856" spans="1:49" ht="13.2">
      <c r="A856" s="7"/>
      <c r="B856" s="7"/>
      <c r="G856" s="20"/>
      <c r="H856" s="6"/>
      <c r="I856" s="6"/>
      <c r="Q856" s="18"/>
      <c r="S856" s="18"/>
      <c r="AL856" s="19"/>
      <c r="AW856" s="21"/>
    </row>
    <row r="857" spans="1:49" ht="13.2">
      <c r="A857" s="7"/>
      <c r="B857" s="7"/>
      <c r="G857" s="20"/>
      <c r="H857" s="6"/>
      <c r="I857" s="6"/>
      <c r="Q857" s="18"/>
      <c r="S857" s="18"/>
      <c r="AL857" s="19"/>
      <c r="AW857" s="21"/>
    </row>
    <row r="858" spans="1:49" ht="13.2">
      <c r="A858" s="7"/>
      <c r="B858" s="7"/>
      <c r="G858" s="20"/>
      <c r="H858" s="6"/>
      <c r="I858" s="6"/>
      <c r="Q858" s="18"/>
      <c r="S858" s="18"/>
      <c r="AL858" s="19"/>
      <c r="AW858" s="21"/>
    </row>
    <row r="859" spans="1:49" ht="13.2">
      <c r="A859" s="7"/>
      <c r="B859" s="7"/>
      <c r="G859" s="20"/>
      <c r="H859" s="6"/>
      <c r="I859" s="6"/>
      <c r="Q859" s="18"/>
      <c r="S859" s="18"/>
      <c r="AL859" s="19"/>
      <c r="AW859" s="21"/>
    </row>
    <row r="860" spans="1:49" ht="13.2">
      <c r="A860" s="7"/>
      <c r="B860" s="7"/>
      <c r="G860" s="20"/>
      <c r="H860" s="6"/>
      <c r="I860" s="6"/>
      <c r="Q860" s="18"/>
      <c r="S860" s="18"/>
      <c r="AL860" s="19"/>
      <c r="AW860" s="21"/>
    </row>
    <row r="861" spans="1:49" ht="13.2">
      <c r="A861" s="7"/>
      <c r="B861" s="7"/>
      <c r="G861" s="20"/>
      <c r="H861" s="6"/>
      <c r="I861" s="6"/>
      <c r="Q861" s="18"/>
      <c r="S861" s="18"/>
      <c r="AL861" s="19"/>
      <c r="AW861" s="21"/>
    </row>
    <row r="862" spans="1:49" ht="13.2">
      <c r="A862" s="7"/>
      <c r="B862" s="7"/>
      <c r="G862" s="20"/>
      <c r="H862" s="6"/>
      <c r="I862" s="6"/>
      <c r="Q862" s="18"/>
      <c r="S862" s="18"/>
      <c r="AL862" s="19"/>
      <c r="AW862" s="21"/>
    </row>
    <row r="863" spans="1:49" ht="13.2">
      <c r="A863" s="7"/>
      <c r="B863" s="7"/>
      <c r="G863" s="20"/>
      <c r="H863" s="6"/>
      <c r="I863" s="6"/>
      <c r="Q863" s="18"/>
      <c r="S863" s="18"/>
      <c r="AL863" s="19"/>
      <c r="AW863" s="21"/>
    </row>
    <row r="864" spans="1:49" ht="13.2">
      <c r="A864" s="7"/>
      <c r="B864" s="7"/>
      <c r="G864" s="20"/>
      <c r="H864" s="6"/>
      <c r="I864" s="6"/>
      <c r="Q864" s="18"/>
      <c r="S864" s="18"/>
      <c r="AL864" s="19"/>
      <c r="AW864" s="21"/>
    </row>
    <row r="865" spans="1:49" ht="13.2">
      <c r="A865" s="7"/>
      <c r="B865" s="7"/>
      <c r="G865" s="20"/>
      <c r="H865" s="6"/>
      <c r="I865" s="6"/>
      <c r="Q865" s="18"/>
      <c r="S865" s="18"/>
      <c r="AL865" s="19"/>
      <c r="AW865" s="21"/>
    </row>
    <row r="866" spans="1:49" ht="13.2">
      <c r="A866" s="7"/>
      <c r="B866" s="7"/>
      <c r="G866" s="20"/>
      <c r="H866" s="6"/>
      <c r="I866" s="6"/>
      <c r="Q866" s="18"/>
      <c r="S866" s="18"/>
      <c r="AL866" s="19"/>
      <c r="AW866" s="21"/>
    </row>
    <row r="867" spans="1:49" ht="13.2">
      <c r="A867" s="7"/>
      <c r="B867" s="7"/>
      <c r="G867" s="20"/>
      <c r="H867" s="6"/>
      <c r="I867" s="6"/>
      <c r="Q867" s="18"/>
      <c r="S867" s="18"/>
      <c r="AL867" s="19"/>
      <c r="AW867" s="21"/>
    </row>
    <row r="868" spans="1:49" ht="13.2">
      <c r="A868" s="7"/>
      <c r="B868" s="7"/>
      <c r="G868" s="20"/>
      <c r="H868" s="6"/>
      <c r="I868" s="6"/>
      <c r="Q868" s="18"/>
      <c r="S868" s="18"/>
      <c r="AL868" s="19"/>
      <c r="AW868" s="21"/>
    </row>
    <row r="869" spans="1:49" ht="13.2">
      <c r="A869" s="7"/>
      <c r="B869" s="7"/>
      <c r="G869" s="20"/>
      <c r="H869" s="6"/>
      <c r="I869" s="6"/>
      <c r="Q869" s="18"/>
      <c r="S869" s="18"/>
      <c r="AL869" s="19"/>
      <c r="AW869" s="21"/>
    </row>
    <row r="870" spans="1:49" ht="13.2">
      <c r="A870" s="7"/>
      <c r="B870" s="7"/>
      <c r="G870" s="20"/>
      <c r="H870" s="6"/>
      <c r="I870" s="6"/>
      <c r="Q870" s="18"/>
      <c r="S870" s="18"/>
      <c r="AL870" s="19"/>
      <c r="AW870" s="21"/>
    </row>
    <row r="871" spans="1:49" ht="13.2">
      <c r="A871" s="7"/>
      <c r="B871" s="7"/>
      <c r="G871" s="20"/>
      <c r="H871" s="6"/>
      <c r="I871" s="6"/>
      <c r="Q871" s="18"/>
      <c r="S871" s="18"/>
      <c r="AL871" s="19"/>
      <c r="AW871" s="21"/>
    </row>
    <row r="872" spans="1:49" ht="13.2">
      <c r="A872" s="7"/>
      <c r="B872" s="7"/>
      <c r="G872" s="20"/>
      <c r="H872" s="6"/>
      <c r="I872" s="6"/>
      <c r="Q872" s="18"/>
      <c r="S872" s="18"/>
      <c r="AL872" s="19"/>
      <c r="AW872" s="21"/>
    </row>
    <row r="873" spans="1:49" ht="13.2">
      <c r="A873" s="7"/>
      <c r="B873" s="7"/>
      <c r="G873" s="20"/>
      <c r="H873" s="6"/>
      <c r="I873" s="6"/>
      <c r="Q873" s="18"/>
      <c r="S873" s="18"/>
      <c r="AL873" s="19"/>
      <c r="AW873" s="21"/>
    </row>
    <row r="874" spans="1:49" ht="13.2">
      <c r="A874" s="7"/>
      <c r="B874" s="7"/>
      <c r="G874" s="20"/>
      <c r="H874" s="6"/>
      <c r="I874" s="6"/>
      <c r="Q874" s="18"/>
      <c r="S874" s="18"/>
      <c r="AL874" s="19"/>
      <c r="AW874" s="21"/>
    </row>
    <row r="875" spans="1:49" ht="13.2">
      <c r="A875" s="7"/>
      <c r="B875" s="7"/>
      <c r="G875" s="20"/>
      <c r="H875" s="6"/>
      <c r="I875" s="6"/>
      <c r="Q875" s="18"/>
      <c r="S875" s="18"/>
      <c r="AL875" s="19"/>
      <c r="AW875" s="21"/>
    </row>
    <row r="876" spans="1:49" ht="13.2">
      <c r="A876" s="7"/>
      <c r="B876" s="7"/>
      <c r="G876" s="20"/>
      <c r="H876" s="6"/>
      <c r="I876" s="6"/>
      <c r="Q876" s="18"/>
      <c r="S876" s="18"/>
      <c r="AL876" s="19"/>
      <c r="AW876" s="21"/>
    </row>
    <row r="877" spans="1:49" ht="13.2">
      <c r="A877" s="7"/>
      <c r="B877" s="7"/>
      <c r="G877" s="20"/>
      <c r="H877" s="6"/>
      <c r="I877" s="6"/>
      <c r="Q877" s="18"/>
      <c r="S877" s="18"/>
      <c r="AL877" s="19"/>
      <c r="AW877" s="21"/>
    </row>
    <row r="878" spans="1:49" ht="13.2">
      <c r="A878" s="7"/>
      <c r="B878" s="7"/>
      <c r="G878" s="20"/>
      <c r="H878" s="6"/>
      <c r="I878" s="6"/>
      <c r="Q878" s="18"/>
      <c r="S878" s="18"/>
      <c r="AL878" s="19"/>
      <c r="AW878" s="21"/>
    </row>
    <row r="879" spans="1:49" ht="13.2">
      <c r="A879" s="7"/>
      <c r="B879" s="7"/>
      <c r="G879" s="20"/>
      <c r="H879" s="6"/>
      <c r="I879" s="6"/>
      <c r="Q879" s="18"/>
      <c r="S879" s="18"/>
      <c r="AL879" s="19"/>
      <c r="AW879" s="21"/>
    </row>
    <row r="880" spans="1:49" ht="13.2">
      <c r="A880" s="7"/>
      <c r="B880" s="7"/>
      <c r="G880" s="20"/>
      <c r="H880" s="6"/>
      <c r="I880" s="6"/>
      <c r="Q880" s="18"/>
      <c r="S880" s="18"/>
      <c r="AL880" s="19"/>
      <c r="AW880" s="21"/>
    </row>
    <row r="881" spans="1:49" ht="13.2">
      <c r="A881" s="7"/>
      <c r="B881" s="7"/>
      <c r="G881" s="20"/>
      <c r="H881" s="6"/>
      <c r="I881" s="6"/>
      <c r="Q881" s="18"/>
      <c r="S881" s="18"/>
      <c r="AL881" s="19"/>
      <c r="AW881" s="21"/>
    </row>
    <row r="882" spans="1:49" ht="13.2">
      <c r="A882" s="7"/>
      <c r="B882" s="7"/>
      <c r="G882" s="20"/>
      <c r="H882" s="6"/>
      <c r="I882" s="6"/>
      <c r="Q882" s="18"/>
      <c r="S882" s="18"/>
      <c r="AL882" s="19"/>
      <c r="AW882" s="21"/>
    </row>
    <row r="883" spans="1:49" ht="13.2">
      <c r="A883" s="7"/>
      <c r="B883" s="7"/>
      <c r="G883" s="20"/>
      <c r="H883" s="6"/>
      <c r="I883" s="6"/>
      <c r="Q883" s="18"/>
      <c r="S883" s="18"/>
      <c r="AL883" s="19"/>
      <c r="AW883" s="21"/>
    </row>
    <row r="884" spans="1:49" ht="13.2">
      <c r="A884" s="7"/>
      <c r="B884" s="7"/>
      <c r="G884" s="20"/>
      <c r="H884" s="6"/>
      <c r="I884" s="6"/>
      <c r="Q884" s="18"/>
      <c r="S884" s="18"/>
      <c r="AL884" s="19"/>
      <c r="AW884" s="21"/>
    </row>
    <row r="885" spans="1:49" ht="13.2">
      <c r="A885" s="7"/>
      <c r="B885" s="7"/>
      <c r="G885" s="20"/>
      <c r="H885" s="6"/>
      <c r="I885" s="6"/>
      <c r="Q885" s="18"/>
      <c r="S885" s="18"/>
      <c r="AL885" s="19"/>
      <c r="AW885" s="21"/>
    </row>
    <row r="886" spans="1:49" ht="13.2">
      <c r="A886" s="7"/>
      <c r="B886" s="7"/>
      <c r="G886" s="20"/>
      <c r="H886" s="6"/>
      <c r="I886" s="6"/>
      <c r="Q886" s="18"/>
      <c r="S886" s="18"/>
      <c r="AL886" s="19"/>
      <c r="AW886" s="21"/>
    </row>
    <row r="887" spans="1:49" ht="13.2">
      <c r="A887" s="7"/>
      <c r="B887" s="7"/>
      <c r="G887" s="20"/>
      <c r="H887" s="6"/>
      <c r="I887" s="6"/>
      <c r="Q887" s="18"/>
      <c r="S887" s="18"/>
      <c r="AL887" s="19"/>
      <c r="AW887" s="21"/>
    </row>
    <row r="888" spans="1:49" ht="13.2">
      <c r="A888" s="7"/>
      <c r="B888" s="7"/>
      <c r="G888" s="20"/>
      <c r="H888" s="6"/>
      <c r="I888" s="6"/>
      <c r="Q888" s="18"/>
      <c r="S888" s="18"/>
      <c r="AL888" s="19"/>
      <c r="AW888" s="21"/>
    </row>
    <row r="889" spans="1:49" ht="13.2">
      <c r="A889" s="7"/>
      <c r="B889" s="7"/>
      <c r="G889" s="20"/>
      <c r="H889" s="6"/>
      <c r="I889" s="6"/>
      <c r="Q889" s="18"/>
      <c r="S889" s="18"/>
      <c r="AL889" s="19"/>
      <c r="AW889" s="21"/>
    </row>
    <row r="890" spans="1:49" ht="13.2">
      <c r="A890" s="7"/>
      <c r="B890" s="7"/>
      <c r="G890" s="20"/>
      <c r="H890" s="6"/>
      <c r="I890" s="6"/>
      <c r="Q890" s="18"/>
      <c r="S890" s="18"/>
      <c r="AL890" s="19"/>
      <c r="AW890" s="21"/>
    </row>
    <row r="891" spans="1:49" ht="13.2">
      <c r="A891" s="7"/>
      <c r="B891" s="7"/>
      <c r="G891" s="20"/>
      <c r="H891" s="6"/>
      <c r="I891" s="6"/>
      <c r="Q891" s="18"/>
      <c r="S891" s="18"/>
      <c r="AL891" s="19"/>
      <c r="AW891" s="21"/>
    </row>
    <row r="892" spans="1:49" ht="13.2">
      <c r="A892" s="7"/>
      <c r="B892" s="7"/>
      <c r="G892" s="20"/>
      <c r="H892" s="6"/>
      <c r="I892" s="6"/>
      <c r="Q892" s="18"/>
      <c r="S892" s="18"/>
      <c r="AL892" s="19"/>
      <c r="AW892" s="21"/>
    </row>
    <row r="893" spans="1:49" ht="13.2">
      <c r="A893" s="7"/>
      <c r="B893" s="7"/>
      <c r="G893" s="20"/>
      <c r="H893" s="6"/>
      <c r="I893" s="6"/>
      <c r="Q893" s="18"/>
      <c r="S893" s="18"/>
      <c r="AL893" s="19"/>
      <c r="AW893" s="21"/>
    </row>
    <row r="894" spans="1:49" ht="13.2">
      <c r="A894" s="7"/>
      <c r="B894" s="7"/>
      <c r="G894" s="20"/>
      <c r="H894" s="6"/>
      <c r="I894" s="6"/>
      <c r="Q894" s="18"/>
      <c r="S894" s="18"/>
      <c r="AL894" s="19"/>
      <c r="AW894" s="21"/>
    </row>
    <row r="895" spans="1:49" ht="13.2">
      <c r="A895" s="7"/>
      <c r="B895" s="7"/>
      <c r="G895" s="20"/>
      <c r="H895" s="6"/>
      <c r="I895" s="6"/>
      <c r="Q895" s="18"/>
      <c r="S895" s="18"/>
      <c r="AL895" s="19"/>
      <c r="AW895" s="21"/>
    </row>
    <row r="896" spans="1:49" ht="13.2">
      <c r="A896" s="7"/>
      <c r="B896" s="7"/>
      <c r="G896" s="20"/>
      <c r="H896" s="6"/>
      <c r="I896" s="6"/>
      <c r="Q896" s="18"/>
      <c r="S896" s="18"/>
      <c r="AL896" s="19"/>
      <c r="AW896" s="21"/>
    </row>
    <row r="897" spans="1:49" ht="13.2">
      <c r="A897" s="7"/>
      <c r="B897" s="7"/>
      <c r="G897" s="20"/>
      <c r="H897" s="6"/>
      <c r="I897" s="6"/>
      <c r="Q897" s="18"/>
      <c r="S897" s="18"/>
      <c r="AL897" s="19"/>
      <c r="AW897" s="21"/>
    </row>
    <row r="898" spans="1:49" ht="13.2">
      <c r="A898" s="7"/>
      <c r="B898" s="7"/>
      <c r="G898" s="20"/>
      <c r="H898" s="6"/>
      <c r="I898" s="6"/>
      <c r="Q898" s="18"/>
      <c r="S898" s="18"/>
      <c r="AL898" s="19"/>
      <c r="AW898" s="21"/>
    </row>
    <row r="899" spans="1:49" ht="13.2">
      <c r="A899" s="7"/>
      <c r="B899" s="7"/>
      <c r="G899" s="20"/>
      <c r="H899" s="6"/>
      <c r="I899" s="6"/>
      <c r="Q899" s="18"/>
      <c r="S899" s="18"/>
      <c r="AL899" s="19"/>
      <c r="AW899" s="21"/>
    </row>
    <row r="900" spans="1:49" ht="13.2">
      <c r="A900" s="7"/>
      <c r="B900" s="7"/>
      <c r="G900" s="20"/>
      <c r="H900" s="6"/>
      <c r="I900" s="6"/>
      <c r="Q900" s="18"/>
      <c r="S900" s="18"/>
      <c r="AL900" s="19"/>
      <c r="AW900" s="21"/>
    </row>
    <row r="901" spans="1:49" ht="13.2">
      <c r="A901" s="7"/>
      <c r="B901" s="7"/>
      <c r="G901" s="20"/>
      <c r="H901" s="6"/>
      <c r="I901" s="6"/>
      <c r="Q901" s="18"/>
      <c r="S901" s="18"/>
      <c r="AL901" s="19"/>
      <c r="AW901" s="21"/>
    </row>
    <row r="902" spans="1:49" ht="13.2">
      <c r="A902" s="7"/>
      <c r="B902" s="7"/>
      <c r="G902" s="20"/>
      <c r="H902" s="6"/>
      <c r="I902" s="6"/>
      <c r="Q902" s="18"/>
      <c r="S902" s="18"/>
      <c r="AL902" s="19"/>
      <c r="AW902" s="21"/>
    </row>
    <row r="903" spans="1:49" ht="13.2">
      <c r="A903" s="7"/>
      <c r="B903" s="7"/>
      <c r="G903" s="20"/>
      <c r="H903" s="6"/>
      <c r="I903" s="6"/>
      <c r="Q903" s="18"/>
      <c r="S903" s="18"/>
      <c r="AL903" s="19"/>
      <c r="AW903" s="21"/>
    </row>
    <row r="904" spans="1:49" ht="13.2">
      <c r="A904" s="7"/>
      <c r="B904" s="7"/>
      <c r="G904" s="20"/>
      <c r="H904" s="6"/>
      <c r="I904" s="6"/>
      <c r="Q904" s="18"/>
      <c r="S904" s="18"/>
      <c r="AL904" s="19"/>
      <c r="AW904" s="21"/>
    </row>
    <row r="905" spans="1:49" ht="13.2">
      <c r="A905" s="7"/>
      <c r="B905" s="7"/>
      <c r="G905" s="20"/>
      <c r="H905" s="6"/>
      <c r="I905" s="6"/>
      <c r="Q905" s="18"/>
      <c r="S905" s="18"/>
      <c r="AL905" s="19"/>
      <c r="AW905" s="21"/>
    </row>
    <row r="906" spans="1:49" ht="13.2">
      <c r="A906" s="7"/>
      <c r="B906" s="7"/>
      <c r="G906" s="20"/>
      <c r="H906" s="6"/>
      <c r="I906" s="6"/>
      <c r="Q906" s="18"/>
      <c r="S906" s="18"/>
      <c r="AL906" s="19"/>
      <c r="AW906" s="21"/>
    </row>
    <row r="907" spans="1:49" ht="13.2">
      <c r="A907" s="7"/>
      <c r="B907" s="7"/>
      <c r="G907" s="20"/>
      <c r="H907" s="6"/>
      <c r="I907" s="6"/>
      <c r="Q907" s="18"/>
      <c r="S907" s="18"/>
      <c r="AL907" s="19"/>
      <c r="AW907" s="21"/>
    </row>
    <row r="908" spans="1:49" ht="13.2">
      <c r="A908" s="7"/>
      <c r="B908" s="7"/>
      <c r="G908" s="20"/>
      <c r="H908" s="6"/>
      <c r="I908" s="6"/>
      <c r="Q908" s="18"/>
      <c r="S908" s="18"/>
      <c r="AL908" s="19"/>
      <c r="AW908" s="21"/>
    </row>
    <row r="909" spans="1:49" ht="13.2">
      <c r="A909" s="7"/>
      <c r="B909" s="7"/>
      <c r="G909" s="20"/>
      <c r="H909" s="6"/>
      <c r="I909" s="6"/>
      <c r="Q909" s="18"/>
      <c r="S909" s="18"/>
      <c r="AL909" s="19"/>
      <c r="AW909" s="21"/>
    </row>
    <row r="910" spans="1:49" ht="13.2">
      <c r="A910" s="7"/>
      <c r="B910" s="7"/>
      <c r="G910" s="20"/>
      <c r="H910" s="6"/>
      <c r="I910" s="6"/>
      <c r="Q910" s="18"/>
      <c r="S910" s="18"/>
      <c r="AL910" s="19"/>
      <c r="AW910" s="21"/>
    </row>
    <row r="911" spans="1:49" ht="13.2">
      <c r="A911" s="7"/>
      <c r="B911" s="7"/>
      <c r="G911" s="20"/>
      <c r="H911" s="6"/>
      <c r="I911" s="6"/>
      <c r="Q911" s="18"/>
      <c r="S911" s="18"/>
      <c r="AL911" s="19"/>
      <c r="AW911" s="21"/>
    </row>
    <row r="912" spans="1:49" ht="13.2">
      <c r="A912" s="7"/>
      <c r="B912" s="7"/>
      <c r="G912" s="20"/>
      <c r="H912" s="6"/>
      <c r="I912" s="6"/>
      <c r="Q912" s="18"/>
      <c r="S912" s="18"/>
      <c r="AL912" s="19"/>
      <c r="AW912" s="21"/>
    </row>
    <row r="913" spans="1:49" ht="13.2">
      <c r="A913" s="7"/>
      <c r="B913" s="7"/>
      <c r="G913" s="20"/>
      <c r="H913" s="6"/>
      <c r="I913" s="6"/>
      <c r="Q913" s="18"/>
      <c r="S913" s="18"/>
      <c r="AL913" s="19"/>
      <c r="AW913" s="21"/>
    </row>
    <row r="914" spans="1:49" ht="13.2">
      <c r="A914" s="7"/>
      <c r="B914" s="7"/>
      <c r="G914" s="20"/>
      <c r="H914" s="6"/>
      <c r="I914" s="6"/>
      <c r="Q914" s="18"/>
      <c r="S914" s="18"/>
      <c r="AL914" s="19"/>
      <c r="AW914" s="21"/>
    </row>
    <row r="915" spans="1:49" ht="13.2">
      <c r="A915" s="7"/>
      <c r="B915" s="7"/>
      <c r="G915" s="20"/>
      <c r="H915" s="6"/>
      <c r="I915" s="6"/>
      <c r="Q915" s="18"/>
      <c r="S915" s="18"/>
      <c r="AL915" s="19"/>
      <c r="AW915" s="21"/>
    </row>
    <row r="916" spans="1:49" ht="13.2">
      <c r="A916" s="7"/>
      <c r="B916" s="7"/>
      <c r="G916" s="20"/>
      <c r="H916" s="6"/>
      <c r="I916" s="6"/>
      <c r="Q916" s="18"/>
      <c r="S916" s="18"/>
      <c r="AL916" s="19"/>
      <c r="AW916" s="21"/>
    </row>
    <row r="917" spans="1:49" ht="13.2">
      <c r="A917" s="7"/>
      <c r="B917" s="7"/>
      <c r="G917" s="20"/>
      <c r="H917" s="6"/>
      <c r="I917" s="6"/>
      <c r="Q917" s="18"/>
      <c r="S917" s="18"/>
      <c r="AL917" s="19"/>
      <c r="AW917" s="21"/>
    </row>
    <row r="918" spans="1:49" ht="13.2">
      <c r="A918" s="7"/>
      <c r="B918" s="7"/>
      <c r="G918" s="20"/>
      <c r="H918" s="6"/>
      <c r="I918" s="6"/>
      <c r="Q918" s="18"/>
      <c r="S918" s="18"/>
      <c r="AL918" s="19"/>
      <c r="AW918" s="21"/>
    </row>
    <row r="919" spans="1:49" ht="13.2">
      <c r="A919" s="7"/>
      <c r="B919" s="7"/>
      <c r="G919" s="20"/>
      <c r="H919" s="6"/>
      <c r="I919" s="6"/>
      <c r="Q919" s="18"/>
      <c r="S919" s="18"/>
      <c r="AL919" s="19"/>
      <c r="AW919" s="21"/>
    </row>
    <row r="920" spans="1:49" ht="13.2">
      <c r="A920" s="7"/>
      <c r="B920" s="7"/>
      <c r="G920" s="20"/>
      <c r="H920" s="6"/>
      <c r="I920" s="6"/>
      <c r="Q920" s="18"/>
      <c r="S920" s="18"/>
      <c r="AL920" s="19"/>
      <c r="AW920" s="21"/>
    </row>
    <row r="921" spans="1:49" ht="13.2">
      <c r="A921" s="7"/>
      <c r="B921" s="7"/>
      <c r="G921" s="20"/>
      <c r="H921" s="6"/>
      <c r="I921" s="6"/>
      <c r="Q921" s="18"/>
      <c r="S921" s="18"/>
      <c r="AL921" s="19"/>
      <c r="AW921" s="21"/>
    </row>
    <row r="922" spans="1:49" ht="13.2">
      <c r="A922" s="7"/>
      <c r="B922" s="7"/>
      <c r="G922" s="20"/>
      <c r="H922" s="6"/>
      <c r="I922" s="6"/>
      <c r="Q922" s="18"/>
      <c r="S922" s="18"/>
      <c r="AL922" s="19"/>
      <c r="AW922" s="21"/>
    </row>
    <row r="923" spans="1:49" ht="13.2">
      <c r="A923" s="7"/>
      <c r="B923" s="7"/>
      <c r="G923" s="20"/>
      <c r="H923" s="6"/>
      <c r="I923" s="6"/>
      <c r="Q923" s="18"/>
      <c r="S923" s="18"/>
      <c r="AL923" s="19"/>
      <c r="AW923" s="21"/>
    </row>
    <row r="924" spans="1:49" ht="13.2">
      <c r="A924" s="7"/>
      <c r="B924" s="7"/>
      <c r="G924" s="20"/>
      <c r="H924" s="6"/>
      <c r="I924" s="6"/>
      <c r="Q924" s="18"/>
      <c r="S924" s="18"/>
      <c r="AL924" s="19"/>
      <c r="AW924" s="21"/>
    </row>
    <row r="925" spans="1:49" ht="13.2">
      <c r="A925" s="7"/>
      <c r="B925" s="7"/>
      <c r="G925" s="20"/>
      <c r="H925" s="6"/>
      <c r="I925" s="6"/>
      <c r="Q925" s="18"/>
      <c r="S925" s="18"/>
      <c r="AL925" s="19"/>
      <c r="AW925" s="21"/>
    </row>
    <row r="926" spans="1:49" ht="13.2">
      <c r="A926" s="7"/>
      <c r="B926" s="7"/>
      <c r="G926" s="20"/>
      <c r="H926" s="6"/>
      <c r="I926" s="6"/>
      <c r="Q926" s="18"/>
      <c r="S926" s="18"/>
      <c r="AL926" s="19"/>
      <c r="AW926" s="21"/>
    </row>
    <row r="927" spans="1:49" ht="13.2">
      <c r="A927" s="7"/>
      <c r="B927" s="7"/>
      <c r="G927" s="20"/>
      <c r="H927" s="6"/>
      <c r="I927" s="6"/>
      <c r="Q927" s="18"/>
      <c r="S927" s="18"/>
      <c r="AL927" s="19"/>
      <c r="AW927" s="21"/>
    </row>
    <row r="928" spans="1:49" ht="13.2">
      <c r="A928" s="7"/>
      <c r="B928" s="7"/>
      <c r="G928" s="20"/>
      <c r="H928" s="6"/>
      <c r="I928" s="6"/>
      <c r="Q928" s="18"/>
      <c r="S928" s="18"/>
      <c r="AL928" s="19"/>
      <c r="AW928" s="21"/>
    </row>
    <row r="929" spans="1:49" ht="13.2">
      <c r="A929" s="7"/>
      <c r="B929" s="7"/>
      <c r="G929" s="20"/>
      <c r="H929" s="6"/>
      <c r="I929" s="6"/>
      <c r="Q929" s="18"/>
      <c r="S929" s="18"/>
      <c r="AL929" s="19"/>
      <c r="AW929" s="21"/>
    </row>
    <row r="930" spans="1:49" ht="13.2">
      <c r="A930" s="7"/>
      <c r="B930" s="7"/>
      <c r="G930" s="20"/>
      <c r="H930" s="6"/>
      <c r="I930" s="6"/>
      <c r="Q930" s="18"/>
      <c r="S930" s="18"/>
      <c r="AL930" s="19"/>
      <c r="AW930" s="21"/>
    </row>
    <row r="931" spans="1:49" ht="13.2">
      <c r="A931" s="7"/>
      <c r="B931" s="7"/>
      <c r="G931" s="20"/>
      <c r="H931" s="6"/>
      <c r="I931" s="6"/>
      <c r="Q931" s="18"/>
      <c r="S931" s="18"/>
      <c r="AL931" s="19"/>
      <c r="AW931" s="21"/>
    </row>
    <row r="932" spans="1:49" ht="13.2">
      <c r="A932" s="7"/>
      <c r="B932" s="7"/>
      <c r="G932" s="20"/>
      <c r="H932" s="6"/>
      <c r="I932" s="6"/>
      <c r="Q932" s="18"/>
      <c r="S932" s="18"/>
      <c r="AL932" s="19"/>
      <c r="AW932" s="21"/>
    </row>
    <row r="933" spans="1:49" ht="13.2">
      <c r="A933" s="7"/>
      <c r="B933" s="7"/>
      <c r="G933" s="20"/>
      <c r="H933" s="6"/>
      <c r="I933" s="6"/>
      <c r="Q933" s="18"/>
      <c r="S933" s="18"/>
      <c r="AL933" s="19"/>
      <c r="AW933" s="21"/>
    </row>
    <row r="934" spans="1:49" ht="13.2">
      <c r="A934" s="7"/>
      <c r="B934" s="7"/>
      <c r="G934" s="20"/>
      <c r="H934" s="6"/>
      <c r="I934" s="6"/>
      <c r="Q934" s="18"/>
      <c r="S934" s="18"/>
      <c r="AL934" s="19"/>
      <c r="AW934" s="21"/>
    </row>
    <row r="935" spans="1:49" ht="13.2">
      <c r="A935" s="7"/>
      <c r="B935" s="7"/>
      <c r="G935" s="20"/>
      <c r="H935" s="6"/>
      <c r="I935" s="6"/>
      <c r="Q935" s="18"/>
      <c r="S935" s="18"/>
      <c r="AL935" s="19"/>
      <c r="AW935" s="21"/>
    </row>
    <row r="936" spans="1:49" ht="13.2">
      <c r="A936" s="7"/>
      <c r="B936" s="7"/>
      <c r="G936" s="20"/>
      <c r="H936" s="6"/>
      <c r="I936" s="6"/>
      <c r="Q936" s="18"/>
      <c r="S936" s="18"/>
      <c r="AL936" s="19"/>
      <c r="AW936" s="21"/>
    </row>
    <row r="937" spans="1:49" ht="13.2">
      <c r="A937" s="7"/>
      <c r="B937" s="7"/>
      <c r="G937" s="20"/>
      <c r="H937" s="6"/>
      <c r="I937" s="6"/>
      <c r="Q937" s="18"/>
      <c r="S937" s="18"/>
      <c r="AL937" s="19"/>
      <c r="AW937" s="21"/>
    </row>
    <row r="938" spans="1:49" ht="13.2">
      <c r="A938" s="7"/>
      <c r="B938" s="7"/>
      <c r="G938" s="20"/>
      <c r="H938" s="6"/>
      <c r="I938" s="6"/>
      <c r="Q938" s="18"/>
      <c r="S938" s="18"/>
      <c r="AL938" s="19"/>
      <c r="AW938" s="21"/>
    </row>
    <row r="939" spans="1:49" ht="13.2">
      <c r="A939" s="7"/>
      <c r="B939" s="7"/>
      <c r="G939" s="20"/>
      <c r="H939" s="6"/>
      <c r="I939" s="6"/>
      <c r="Q939" s="18"/>
      <c r="S939" s="18"/>
      <c r="AL939" s="19"/>
      <c r="AW939" s="21"/>
    </row>
    <row r="940" spans="1:49" ht="13.2">
      <c r="A940" s="7"/>
      <c r="B940" s="7"/>
      <c r="G940" s="20"/>
      <c r="H940" s="6"/>
      <c r="I940" s="6"/>
      <c r="Q940" s="18"/>
      <c r="S940" s="18"/>
      <c r="AL940" s="19"/>
      <c r="AW940" s="21"/>
    </row>
    <row r="941" spans="1:49" ht="13.2">
      <c r="A941" s="7"/>
      <c r="B941" s="7"/>
      <c r="G941" s="20"/>
      <c r="H941" s="6"/>
      <c r="I941" s="6"/>
      <c r="Q941" s="18"/>
      <c r="S941" s="18"/>
      <c r="AL941" s="19"/>
      <c r="AW941" s="21"/>
    </row>
    <row r="942" spans="1:49" ht="13.2">
      <c r="A942" s="7"/>
      <c r="B942" s="7"/>
      <c r="G942" s="20"/>
      <c r="H942" s="6"/>
      <c r="I942" s="6"/>
      <c r="Q942" s="18"/>
      <c r="S942" s="18"/>
      <c r="AL942" s="19"/>
      <c r="AW942" s="21"/>
    </row>
    <row r="943" spans="1:49" ht="13.2">
      <c r="A943" s="7"/>
      <c r="B943" s="7"/>
      <c r="G943" s="20"/>
      <c r="H943" s="6"/>
      <c r="I943" s="6"/>
      <c r="Q943" s="18"/>
      <c r="S943" s="18"/>
      <c r="AL943" s="19"/>
      <c r="AW943" s="21"/>
    </row>
    <row r="944" spans="1:49" ht="13.2">
      <c r="A944" s="7"/>
      <c r="B944" s="7"/>
      <c r="G944" s="20"/>
      <c r="H944" s="6"/>
      <c r="I944" s="6"/>
      <c r="Q944" s="18"/>
      <c r="S944" s="18"/>
      <c r="AL944" s="19"/>
      <c r="AW944" s="21"/>
    </row>
    <row r="945" spans="1:49" ht="13.2">
      <c r="A945" s="7"/>
      <c r="B945" s="7"/>
      <c r="G945" s="20"/>
      <c r="H945" s="6"/>
      <c r="I945" s="6"/>
      <c r="Q945" s="18"/>
      <c r="S945" s="18"/>
      <c r="AL945" s="19"/>
      <c r="AW945" s="21"/>
    </row>
    <row r="946" spans="1:49" ht="13.2">
      <c r="A946" s="7"/>
      <c r="B946" s="7"/>
      <c r="G946" s="20"/>
      <c r="H946" s="6"/>
      <c r="I946" s="6"/>
      <c r="Q946" s="18"/>
      <c r="S946" s="18"/>
      <c r="AL946" s="19"/>
      <c r="AW946" s="21"/>
    </row>
    <row r="947" spans="1:49" ht="13.2">
      <c r="A947" s="7"/>
      <c r="B947" s="7"/>
      <c r="G947" s="20"/>
      <c r="H947" s="6"/>
      <c r="I947" s="6"/>
      <c r="Q947" s="18"/>
      <c r="S947" s="18"/>
      <c r="AL947" s="19"/>
      <c r="AW947" s="21"/>
    </row>
    <row r="948" spans="1:49" ht="13.2">
      <c r="A948" s="7"/>
      <c r="B948" s="7"/>
      <c r="G948" s="20"/>
      <c r="H948" s="6"/>
      <c r="I948" s="6"/>
      <c r="Q948" s="18"/>
      <c r="S948" s="18"/>
      <c r="AL948" s="19"/>
      <c r="AW948" s="21"/>
    </row>
    <row r="949" spans="1:49" ht="13.2">
      <c r="A949" s="7"/>
      <c r="B949" s="7"/>
      <c r="G949" s="20"/>
      <c r="H949" s="6"/>
      <c r="I949" s="6"/>
      <c r="Q949" s="18"/>
      <c r="S949" s="18"/>
      <c r="AL949" s="19"/>
      <c r="AW949" s="21"/>
    </row>
    <row r="950" spans="1:49" ht="13.2">
      <c r="A950" s="7"/>
      <c r="B950" s="7"/>
      <c r="G950" s="20"/>
      <c r="H950" s="6"/>
      <c r="I950" s="6"/>
      <c r="Q950" s="18"/>
      <c r="S950" s="18"/>
      <c r="AL950" s="19"/>
      <c r="AW950" s="21"/>
    </row>
    <row r="951" spans="1:49" ht="13.2">
      <c r="A951" s="7"/>
      <c r="B951" s="7"/>
      <c r="G951" s="20"/>
      <c r="H951" s="6"/>
      <c r="I951" s="6"/>
      <c r="Q951" s="18"/>
      <c r="S951" s="18"/>
      <c r="AL951" s="19"/>
      <c r="AW951" s="21"/>
    </row>
    <row r="952" spans="1:49" ht="13.2">
      <c r="A952" s="7"/>
      <c r="B952" s="7"/>
      <c r="G952" s="20"/>
      <c r="H952" s="6"/>
      <c r="I952" s="6"/>
      <c r="Q952" s="18"/>
      <c r="S952" s="18"/>
      <c r="AL952" s="19"/>
      <c r="AW952" s="21"/>
    </row>
    <row r="953" spans="1:49" ht="13.2">
      <c r="A953" s="7"/>
      <c r="B953" s="7"/>
      <c r="G953" s="20"/>
      <c r="H953" s="6"/>
      <c r="I953" s="6"/>
      <c r="Q953" s="18"/>
      <c r="S953" s="18"/>
      <c r="AL953" s="19"/>
      <c r="AW953" s="21"/>
    </row>
    <row r="954" spans="1:49" ht="13.2">
      <c r="A954" s="7"/>
      <c r="B954" s="7"/>
      <c r="G954" s="20"/>
      <c r="H954" s="6"/>
      <c r="I954" s="6"/>
      <c r="Q954" s="18"/>
      <c r="S954" s="18"/>
      <c r="AL954" s="19"/>
      <c r="AW954" s="21"/>
    </row>
    <row r="955" spans="1:49" ht="13.2">
      <c r="A955" s="7"/>
      <c r="B955" s="7"/>
      <c r="G955" s="20"/>
      <c r="H955" s="6"/>
      <c r="I955" s="6"/>
      <c r="Q955" s="18"/>
      <c r="S955" s="18"/>
      <c r="AL955" s="19"/>
      <c r="AW955" s="21"/>
    </row>
    <row r="956" spans="1:49" ht="13.2">
      <c r="A956" s="7"/>
      <c r="B956" s="7"/>
      <c r="G956" s="20"/>
      <c r="H956" s="6"/>
      <c r="I956" s="6"/>
      <c r="Q956" s="18"/>
      <c r="S956" s="18"/>
      <c r="AL956" s="19"/>
      <c r="AW956" s="21"/>
    </row>
    <row r="957" spans="1:49" ht="13.2">
      <c r="A957" s="7"/>
      <c r="B957" s="7"/>
      <c r="G957" s="20"/>
      <c r="H957" s="6"/>
      <c r="I957" s="6"/>
      <c r="Q957" s="18"/>
      <c r="S957" s="18"/>
      <c r="AL957" s="19"/>
      <c r="AW957" s="21"/>
    </row>
    <row r="958" spans="1:49" ht="13.2">
      <c r="A958" s="7"/>
      <c r="B958" s="7"/>
      <c r="G958" s="20"/>
      <c r="H958" s="6"/>
      <c r="I958" s="6"/>
      <c r="Q958" s="18"/>
      <c r="S958" s="18"/>
      <c r="AL958" s="19"/>
      <c r="AW958" s="21"/>
    </row>
    <row r="959" spans="1:49" ht="13.2">
      <c r="A959" s="7"/>
      <c r="B959" s="7"/>
      <c r="G959" s="20"/>
      <c r="H959" s="6"/>
      <c r="I959" s="6"/>
      <c r="Q959" s="18"/>
      <c r="S959" s="18"/>
      <c r="AL959" s="19"/>
      <c r="AW959" s="21"/>
    </row>
    <row r="960" spans="1:49" ht="13.2">
      <c r="A960" s="7"/>
      <c r="B960" s="7"/>
      <c r="G960" s="20"/>
      <c r="H960" s="6"/>
      <c r="I960" s="6"/>
      <c r="Q960" s="18"/>
      <c r="S960" s="18"/>
      <c r="AL960" s="19"/>
      <c r="AW960" s="21"/>
    </row>
    <row r="961" spans="1:49" ht="13.2">
      <c r="A961" s="7"/>
      <c r="B961" s="7"/>
      <c r="G961" s="20"/>
      <c r="H961" s="6"/>
      <c r="I961" s="6"/>
      <c r="Q961" s="18"/>
      <c r="S961" s="18"/>
      <c r="AL961" s="19"/>
      <c r="AW961" s="21"/>
    </row>
    <row r="962" spans="1:49" ht="13.2">
      <c r="A962" s="7"/>
      <c r="B962" s="7"/>
      <c r="G962" s="20"/>
      <c r="H962" s="6"/>
      <c r="I962" s="6"/>
      <c r="Q962" s="18"/>
      <c r="S962" s="18"/>
      <c r="AL962" s="19"/>
      <c r="AW962" s="21"/>
    </row>
    <row r="963" spans="1:49" ht="13.2">
      <c r="A963" s="7"/>
      <c r="B963" s="7"/>
      <c r="G963" s="20"/>
      <c r="H963" s="6"/>
      <c r="I963" s="6"/>
      <c r="Q963" s="18"/>
      <c r="S963" s="18"/>
      <c r="AL963" s="19"/>
      <c r="AW963" s="21"/>
    </row>
    <row r="964" spans="1:49" ht="13.2">
      <c r="A964" s="7"/>
      <c r="B964" s="7"/>
      <c r="G964" s="20"/>
      <c r="H964" s="6"/>
      <c r="I964" s="6"/>
      <c r="Q964" s="18"/>
      <c r="S964" s="18"/>
      <c r="AL964" s="19"/>
      <c r="AW964" s="21"/>
    </row>
    <row r="965" spans="1:49" ht="13.2">
      <c r="A965" s="7"/>
      <c r="B965" s="7"/>
      <c r="G965" s="20"/>
      <c r="H965" s="6"/>
      <c r="I965" s="6"/>
      <c r="Q965" s="18"/>
      <c r="S965" s="18"/>
      <c r="AL965" s="19"/>
      <c r="AW965" s="21"/>
    </row>
    <row r="966" spans="1:49" ht="13.2">
      <c r="A966" s="7"/>
      <c r="B966" s="7"/>
      <c r="G966" s="20"/>
      <c r="H966" s="6"/>
      <c r="I966" s="6"/>
      <c r="Q966" s="18"/>
      <c r="S966" s="18"/>
      <c r="AL966" s="19"/>
      <c r="AW966" s="21"/>
    </row>
    <row r="967" spans="1:49" ht="13.2">
      <c r="A967" s="7"/>
      <c r="B967" s="7"/>
      <c r="G967" s="20"/>
      <c r="H967" s="6"/>
      <c r="I967" s="6"/>
      <c r="Q967" s="18"/>
      <c r="S967" s="18"/>
      <c r="AL967" s="19"/>
      <c r="AW967" s="21"/>
    </row>
    <row r="968" spans="1:49" ht="13.2">
      <c r="A968" s="7"/>
      <c r="B968" s="7"/>
      <c r="G968" s="20"/>
      <c r="H968" s="6"/>
      <c r="I968" s="6"/>
      <c r="Q968" s="18"/>
      <c r="S968" s="18"/>
      <c r="AL968" s="19"/>
      <c r="AW968" s="21"/>
    </row>
    <row r="969" spans="1:49" ht="13.2">
      <c r="A969" s="7"/>
      <c r="B969" s="7"/>
      <c r="G969" s="20"/>
      <c r="H969" s="6"/>
      <c r="I969" s="6"/>
      <c r="Q969" s="18"/>
      <c r="S969" s="18"/>
      <c r="AL969" s="19"/>
      <c r="AW969" s="21"/>
    </row>
    <row r="970" spans="1:49" ht="13.2">
      <c r="A970" s="7"/>
      <c r="B970" s="7"/>
      <c r="G970" s="20"/>
      <c r="H970" s="6"/>
      <c r="I970" s="6"/>
      <c r="Q970" s="18"/>
      <c r="S970" s="18"/>
      <c r="AL970" s="19"/>
      <c r="AW970" s="21"/>
    </row>
    <row r="971" spans="1:49" ht="13.2">
      <c r="A971" s="7"/>
      <c r="B971" s="7"/>
      <c r="G971" s="20"/>
      <c r="H971" s="6"/>
      <c r="I971" s="6"/>
      <c r="Q971" s="18"/>
      <c r="S971" s="18"/>
      <c r="AL971" s="19"/>
      <c r="AW971" s="21"/>
    </row>
    <row r="972" spans="1:49" ht="13.2">
      <c r="A972" s="7"/>
      <c r="B972" s="7"/>
      <c r="G972" s="20"/>
      <c r="H972" s="6"/>
      <c r="I972" s="6"/>
      <c r="Q972" s="18"/>
      <c r="S972" s="18"/>
      <c r="AL972" s="19"/>
      <c r="AW972" s="21"/>
    </row>
    <row r="973" spans="1:49" ht="13.2">
      <c r="A973" s="7"/>
      <c r="B973" s="7"/>
      <c r="G973" s="20"/>
      <c r="H973" s="6"/>
      <c r="I973" s="6"/>
      <c r="Q973" s="18"/>
      <c r="S973" s="18"/>
      <c r="AL973" s="19"/>
      <c r="AW973" s="21"/>
    </row>
    <row r="974" spans="1:49" ht="13.2">
      <c r="A974" s="7"/>
      <c r="B974" s="7"/>
      <c r="G974" s="20"/>
      <c r="H974" s="6"/>
      <c r="I974" s="6"/>
      <c r="Q974" s="18"/>
      <c r="S974" s="18"/>
      <c r="AL974" s="19"/>
      <c r="AW974" s="21"/>
    </row>
    <row r="975" spans="1:49" ht="13.2">
      <c r="A975" s="7"/>
      <c r="B975" s="7"/>
      <c r="G975" s="20"/>
      <c r="H975" s="6"/>
      <c r="I975" s="6"/>
      <c r="Q975" s="18"/>
      <c r="S975" s="18"/>
      <c r="AL975" s="19"/>
      <c r="AW975" s="21"/>
    </row>
    <row r="976" spans="1:49" ht="13.2">
      <c r="A976" s="7"/>
      <c r="B976" s="7"/>
      <c r="G976" s="20"/>
      <c r="H976" s="6"/>
      <c r="I976" s="6"/>
      <c r="Q976" s="18"/>
      <c r="S976" s="18"/>
      <c r="AL976" s="19"/>
      <c r="AW976" s="21"/>
    </row>
    <row r="977" spans="1:49" ht="13.2">
      <c r="A977" s="7"/>
      <c r="B977" s="7"/>
      <c r="G977" s="20"/>
      <c r="H977" s="6"/>
      <c r="I977" s="6"/>
      <c r="Q977" s="18"/>
      <c r="S977" s="18"/>
      <c r="AL977" s="19"/>
      <c r="AW977" s="21"/>
    </row>
    <row r="978" spans="1:49" ht="13.2">
      <c r="A978" s="7"/>
      <c r="B978" s="7"/>
      <c r="G978" s="20"/>
      <c r="H978" s="6"/>
      <c r="I978" s="6"/>
      <c r="Q978" s="18"/>
      <c r="S978" s="18"/>
      <c r="AL978" s="19"/>
      <c r="AW978" s="21"/>
    </row>
    <row r="979" spans="1:49" ht="13.2">
      <c r="A979" s="7"/>
      <c r="B979" s="7"/>
      <c r="G979" s="20"/>
      <c r="H979" s="6"/>
      <c r="I979" s="6"/>
      <c r="Q979" s="18"/>
      <c r="S979" s="18"/>
      <c r="AL979" s="19"/>
      <c r="AW979" s="21"/>
    </row>
    <row r="980" spans="1:49" ht="13.2">
      <c r="A980" s="7"/>
      <c r="B980" s="7"/>
      <c r="G980" s="20"/>
      <c r="H980" s="6"/>
      <c r="I980" s="6"/>
      <c r="Q980" s="18"/>
      <c r="S980" s="18"/>
      <c r="AL980" s="19"/>
      <c r="AW980" s="21"/>
    </row>
    <row r="981" spans="1:49" ht="13.2">
      <c r="A981" s="7"/>
      <c r="B981" s="7"/>
      <c r="G981" s="20"/>
      <c r="H981" s="6"/>
      <c r="I981" s="6"/>
      <c r="Q981" s="18"/>
      <c r="S981" s="18"/>
      <c r="AL981" s="19"/>
      <c r="AW981" s="21"/>
    </row>
    <row r="982" spans="1:49" ht="13.2">
      <c r="A982" s="7"/>
      <c r="B982" s="7"/>
      <c r="G982" s="20"/>
      <c r="H982" s="6"/>
      <c r="I982" s="6"/>
      <c r="Q982" s="18"/>
      <c r="S982" s="18"/>
      <c r="AL982" s="19"/>
      <c r="AW982" s="21"/>
    </row>
    <row r="983" spans="1:49" ht="13.2">
      <c r="A983" s="7"/>
      <c r="B983" s="7"/>
      <c r="G983" s="20"/>
      <c r="H983" s="6"/>
      <c r="I983" s="6"/>
      <c r="Q983" s="18"/>
      <c r="S983" s="18"/>
      <c r="AL983" s="19"/>
      <c r="AW983" s="21"/>
    </row>
    <row r="984" spans="1:49" ht="13.2">
      <c r="A984" s="7"/>
      <c r="B984" s="7"/>
      <c r="G984" s="20"/>
      <c r="H984" s="6"/>
      <c r="I984" s="6"/>
      <c r="Q984" s="18"/>
      <c r="S984" s="18"/>
      <c r="AL984" s="19"/>
      <c r="AW984" s="21"/>
    </row>
    <row r="985" spans="1:49" ht="13.2">
      <c r="A985" s="7"/>
      <c r="B985" s="7"/>
      <c r="G985" s="20"/>
      <c r="H985" s="6"/>
      <c r="I985" s="6"/>
      <c r="Q985" s="18"/>
      <c r="S985" s="18"/>
      <c r="AL985" s="19"/>
      <c r="AW985" s="21"/>
    </row>
    <row r="986" spans="1:49" ht="13.2">
      <c r="A986" s="7"/>
      <c r="B986" s="7"/>
      <c r="G986" s="20"/>
      <c r="H986" s="6"/>
      <c r="I986" s="6"/>
      <c r="Q986" s="18"/>
      <c r="S986" s="18"/>
      <c r="AL986" s="19"/>
      <c r="AW986" s="21"/>
    </row>
    <row r="987" spans="1:49" ht="13.2">
      <c r="A987" s="7"/>
      <c r="B987" s="7"/>
      <c r="G987" s="20"/>
      <c r="H987" s="6"/>
      <c r="I987" s="6"/>
      <c r="Q987" s="18"/>
      <c r="S987" s="18"/>
      <c r="AL987" s="19"/>
      <c r="AW987" s="21"/>
    </row>
    <row r="988" spans="1:49" ht="13.2">
      <c r="A988" s="7"/>
      <c r="B988" s="7"/>
      <c r="G988" s="20"/>
      <c r="H988" s="6"/>
      <c r="I988" s="6"/>
      <c r="Q988" s="18"/>
      <c r="S988" s="18"/>
      <c r="AL988" s="19"/>
      <c r="AW988" s="21"/>
    </row>
    <row r="989" spans="1:49" ht="13.2">
      <c r="A989" s="7"/>
      <c r="B989" s="7"/>
      <c r="G989" s="20"/>
      <c r="H989" s="6"/>
      <c r="I989" s="6"/>
      <c r="Q989" s="18"/>
      <c r="S989" s="18"/>
      <c r="AL989" s="19"/>
      <c r="AW989" s="21"/>
    </row>
    <row r="990" spans="1:49" ht="13.2">
      <c r="A990" s="7"/>
      <c r="B990" s="7"/>
      <c r="G990" s="20"/>
      <c r="H990" s="6"/>
      <c r="I990" s="6"/>
      <c r="Q990" s="18"/>
      <c r="S990" s="18"/>
      <c r="AL990" s="19"/>
      <c r="AW990" s="21"/>
    </row>
    <row r="991" spans="1:49" ht="13.2">
      <c r="A991" s="7"/>
      <c r="B991" s="7"/>
      <c r="G991" s="20"/>
      <c r="H991" s="6"/>
      <c r="I991" s="6"/>
      <c r="Q991" s="18"/>
      <c r="S991" s="18"/>
      <c r="AL991" s="19"/>
      <c r="AW991" s="21"/>
    </row>
    <row r="992" spans="1:49" ht="13.2">
      <c r="A992" s="7"/>
      <c r="B992" s="7"/>
      <c r="G992" s="20"/>
      <c r="H992" s="6"/>
      <c r="I992" s="6"/>
      <c r="Q992" s="18"/>
      <c r="S992" s="18"/>
      <c r="AL992" s="19"/>
      <c r="AW992" s="21"/>
    </row>
    <row r="993" spans="1:49" ht="13.2">
      <c r="A993" s="7"/>
      <c r="B993" s="7"/>
      <c r="G993" s="20"/>
      <c r="H993" s="6"/>
      <c r="I993" s="6"/>
      <c r="Q993" s="18"/>
      <c r="S993" s="18"/>
      <c r="AL993" s="19"/>
      <c r="AW993" s="21"/>
    </row>
    <row r="994" spans="1:49" ht="13.2">
      <c r="A994" s="7"/>
      <c r="B994" s="7"/>
      <c r="G994" s="20"/>
      <c r="H994" s="6"/>
      <c r="I994" s="6"/>
      <c r="Q994" s="18"/>
      <c r="S994" s="18"/>
      <c r="AL994" s="19"/>
      <c r="AW994" s="21"/>
    </row>
    <row r="995" spans="1:49" ht="13.2">
      <c r="A995" s="7"/>
      <c r="B995" s="7"/>
      <c r="G995" s="20"/>
      <c r="H995" s="6"/>
      <c r="I995" s="6"/>
      <c r="Q995" s="18"/>
      <c r="S995" s="18"/>
      <c r="AL995" s="19"/>
      <c r="AW995" s="21"/>
    </row>
    <row r="996" spans="1:49" ht="13.2">
      <c r="A996" s="7"/>
      <c r="B996" s="7"/>
      <c r="G996" s="20"/>
      <c r="H996" s="6"/>
      <c r="I996" s="6"/>
      <c r="Q996" s="18"/>
      <c r="S996" s="18"/>
      <c r="AL996" s="19"/>
      <c r="AW996" s="21"/>
    </row>
    <row r="997" spans="1:49" ht="13.2">
      <c r="A997" s="7"/>
      <c r="B997" s="7"/>
      <c r="G997" s="20"/>
      <c r="H997" s="6"/>
      <c r="I997" s="6"/>
      <c r="Q997" s="18"/>
      <c r="S997" s="18"/>
      <c r="AL997" s="19"/>
      <c r="AW997" s="21"/>
    </row>
    <row r="998" spans="1:49" ht="13.2">
      <c r="A998" s="7"/>
      <c r="B998" s="7"/>
      <c r="G998" s="20"/>
      <c r="H998" s="6"/>
      <c r="I998" s="6"/>
      <c r="Q998" s="18"/>
      <c r="S998" s="18"/>
      <c r="AL998" s="19"/>
      <c r="AW998" s="21"/>
    </row>
    <row r="999" spans="1:49" ht="13.2">
      <c r="A999" s="7"/>
      <c r="B999" s="7"/>
      <c r="G999" s="20"/>
      <c r="H999" s="6"/>
      <c r="I999" s="6"/>
      <c r="Q999" s="18"/>
      <c r="S999" s="18"/>
      <c r="AL999" s="19"/>
      <c r="AW999" s="21"/>
    </row>
    <row r="1000" spans="1:49" ht="13.2">
      <c r="A1000" s="7"/>
      <c r="B1000" s="7"/>
      <c r="G1000" s="20"/>
      <c r="H1000" s="6"/>
      <c r="I1000" s="6"/>
      <c r="Q1000" s="18"/>
      <c r="S1000" s="18"/>
      <c r="AL1000" s="19"/>
      <c r="AW1000" s="21"/>
    </row>
    <row r="1001" spans="1:49" ht="13.2">
      <c r="A1001" s="7"/>
      <c r="B1001" s="7"/>
      <c r="G1001" s="20"/>
      <c r="H1001" s="6"/>
      <c r="I1001" s="6"/>
      <c r="Q1001" s="18"/>
      <c r="S1001" s="18"/>
      <c r="AL1001" s="19"/>
      <c r="AW1001" s="21"/>
    </row>
    <row r="1002" spans="1:49" ht="13.2">
      <c r="G1002" s="20"/>
      <c r="Q1002" s="18"/>
      <c r="S1002" s="18"/>
      <c r="AL1002" s="19"/>
      <c r="AW1002" s="21"/>
    </row>
  </sheetData>
  <sheetProtection selectLockedCells="1" selectUnlockedCells="1"/>
  <conditionalFormatting sqref="Q101:Q1002 Q1:Q99">
    <cfRule type="cellIs" dxfId="1" priority="4" operator="greaterThanOrEqual">
      <formula>0.02</formula>
    </cfRule>
  </conditionalFormatting>
  <conditionalFormatting sqref="S101:S1002 S1:S99">
    <cfRule type="cellIs" dxfId="0" priority="5" operator="greaterThanOrEqual">
      <formula>0.02</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FA68C-B14E-4ADE-AB81-5B32BFE42542}">
  <sheetPr codeName="Sheet9"/>
  <dimension ref="A1:M28"/>
  <sheetViews>
    <sheetView zoomScale="80" zoomScaleNormal="80" zoomScaleSheetLayoutView="100" workbookViewId="0">
      <selection activeCell="F13" sqref="F13"/>
    </sheetView>
  </sheetViews>
  <sheetFormatPr defaultRowHeight="13.2"/>
  <cols>
    <col min="2" max="3" width="12.109375" bestFit="1" customWidth="1"/>
    <col min="5" max="5" width="11.33203125" customWidth="1"/>
    <col min="6" max="6" width="17.33203125" customWidth="1"/>
    <col min="7" max="7" width="12.6640625" bestFit="1" customWidth="1"/>
  </cols>
  <sheetData>
    <row r="1" spans="1:13">
      <c r="A1">
        <v>0</v>
      </c>
      <c r="B1" s="31" t="s">
        <v>80</v>
      </c>
      <c r="C1">
        <v>2</v>
      </c>
      <c r="F1" s="31" t="s">
        <v>97</v>
      </c>
      <c r="G1" s="31" t="s">
        <v>98</v>
      </c>
      <c r="H1" s="31" t="s">
        <v>99</v>
      </c>
      <c r="I1" s="31" t="s">
        <v>100</v>
      </c>
      <c r="J1" s="31" t="s">
        <v>101</v>
      </c>
      <c r="K1" t="str">
        <f>"Media: "&amp;ROUND(SELECTOR!$B$6,1)&amp;" Kb"</f>
        <v>Media: 11.4 Kb</v>
      </c>
    </row>
    <row r="2" spans="1:13">
      <c r="A2">
        <v>9.1</v>
      </c>
      <c r="B2" s="31" t="s">
        <v>81</v>
      </c>
      <c r="C2">
        <v>1</v>
      </c>
      <c r="E2" s="31" t="s">
        <v>102</v>
      </c>
      <c r="F2">
        <f>0.5</f>
        <v>0.5</v>
      </c>
      <c r="G2">
        <f>A3-A2</f>
        <v>0.5</v>
      </c>
      <c r="H2">
        <f>A4-A3</f>
        <v>2.3000000000000007</v>
      </c>
      <c r="I2">
        <f>A5-A4</f>
        <v>0.59999999999999964</v>
      </c>
      <c r="J2">
        <v>0.5</v>
      </c>
      <c r="K2">
        <f>SELECTOR!$B$6-RANGES!A2+F2</f>
        <v>2.7961652496247797</v>
      </c>
    </row>
    <row r="3" spans="1:13">
      <c r="A3">
        <v>9.6</v>
      </c>
      <c r="B3" s="31" t="s">
        <v>82</v>
      </c>
      <c r="C3">
        <v>1</v>
      </c>
      <c r="E3" s="31" t="s">
        <v>103</v>
      </c>
      <c r="F3">
        <f>F2</f>
        <v>0.5</v>
      </c>
      <c r="G3">
        <f>G2</f>
        <v>0.5</v>
      </c>
      <c r="H3">
        <f>H2</f>
        <v>2.3000000000000007</v>
      </c>
      <c r="I3">
        <f>I2</f>
        <v>0.59999999999999964</v>
      </c>
      <c r="J3">
        <f>J2</f>
        <v>0.5</v>
      </c>
    </row>
    <row r="4" spans="1:13">
      <c r="A4">
        <v>11.9</v>
      </c>
      <c r="B4" s="31" t="s">
        <v>83</v>
      </c>
      <c r="C4">
        <v>1</v>
      </c>
    </row>
    <row r="5" spans="1:13">
      <c r="A5">
        <v>12.5</v>
      </c>
      <c r="B5" s="31" t="s">
        <v>84</v>
      </c>
      <c r="C5">
        <v>1</v>
      </c>
    </row>
    <row r="6" spans="1:13">
      <c r="C6" s="59"/>
    </row>
    <row r="7" spans="1:13">
      <c r="B7" s="31" t="s">
        <v>85</v>
      </c>
      <c r="C7" s="31" t="s">
        <v>80</v>
      </c>
      <c r="D7" s="31" t="s">
        <v>81</v>
      </c>
      <c r="E7" s="31" t="s">
        <v>89</v>
      </c>
      <c r="F7" s="31" t="s">
        <v>88</v>
      </c>
      <c r="G7" s="31" t="s">
        <v>83</v>
      </c>
      <c r="H7" s="31" t="s">
        <v>84</v>
      </c>
      <c r="I7" s="31" t="s">
        <v>87</v>
      </c>
    </row>
    <row r="8" spans="1:13">
      <c r="A8">
        <v>15</v>
      </c>
      <c r="B8">
        <v>11</v>
      </c>
      <c r="C8">
        <v>11.3</v>
      </c>
      <c r="D8">
        <v>11.7</v>
      </c>
      <c r="E8">
        <v>12.9</v>
      </c>
      <c r="F8">
        <v>14.4</v>
      </c>
      <c r="G8">
        <v>16.399999999999999</v>
      </c>
      <c r="H8">
        <v>17</v>
      </c>
      <c r="I8">
        <f>B8-2</f>
        <v>9</v>
      </c>
      <c r="J8">
        <f t="shared" ref="J8:J15" si="0">0.0117/0.0022+SQRT(0.0117^2+4*0.001*(12.958-B8))/0.0022</f>
        <v>45.894836140994812</v>
      </c>
      <c r="K8">
        <f>0.0117/0.0022</f>
        <v>5.3181818181818183</v>
      </c>
      <c r="L8">
        <f>J8-A8</f>
        <v>30.894836140994812</v>
      </c>
      <c r="M8">
        <f>A8-K8</f>
        <v>9.6818181818181817</v>
      </c>
    </row>
    <row r="9" spans="1:13">
      <c r="A9">
        <v>25</v>
      </c>
      <c r="B9">
        <v>9.9</v>
      </c>
      <c r="C9">
        <v>10.3</v>
      </c>
      <c r="D9">
        <v>11.4</v>
      </c>
      <c r="E9">
        <v>12.6</v>
      </c>
      <c r="F9">
        <v>13.8</v>
      </c>
      <c r="G9">
        <v>15.1</v>
      </c>
      <c r="H9">
        <v>15.8</v>
      </c>
      <c r="I9">
        <f t="shared" ref="I9:I15" si="1">B9-2</f>
        <v>7.9</v>
      </c>
      <c r="J9">
        <f t="shared" si="0"/>
        <v>55.870687049119354</v>
      </c>
      <c r="K9">
        <f>0.0117/0.0022</f>
        <v>5.3181818181818183</v>
      </c>
      <c r="L9">
        <f t="shared" ref="L9:L15" si="2">J9-A9</f>
        <v>30.870687049119354</v>
      </c>
      <c r="M9">
        <f t="shared" ref="M9:M15" si="3">A9-K9</f>
        <v>19.68181818181818</v>
      </c>
    </row>
    <row r="10" spans="1:13">
      <c r="A10">
        <v>35</v>
      </c>
      <c r="B10">
        <v>8.9</v>
      </c>
      <c r="C10">
        <v>9.3000000000000007</v>
      </c>
      <c r="D10">
        <v>10.6</v>
      </c>
      <c r="E10">
        <v>12</v>
      </c>
      <c r="F10">
        <v>13.2</v>
      </c>
      <c r="G10">
        <v>14.2</v>
      </c>
      <c r="H10">
        <v>15</v>
      </c>
      <c r="I10">
        <f t="shared" si="1"/>
        <v>6.9</v>
      </c>
      <c r="J10">
        <f t="shared" si="0"/>
        <v>63.473164976254367</v>
      </c>
      <c r="K10">
        <f>0.0117/0.0022</f>
        <v>5.3181818181818183</v>
      </c>
      <c r="L10">
        <f t="shared" si="2"/>
        <v>28.473164976254367</v>
      </c>
      <c r="M10">
        <f t="shared" si="3"/>
        <v>29.68181818181818</v>
      </c>
    </row>
    <row r="11" spans="1:13">
      <c r="A11">
        <v>45</v>
      </c>
      <c r="B11">
        <v>7.9</v>
      </c>
      <c r="C11">
        <v>8.3000000000000007</v>
      </c>
      <c r="D11">
        <v>9.6999999999999993</v>
      </c>
      <c r="E11">
        <v>11.3</v>
      </c>
      <c r="F11">
        <v>12.5</v>
      </c>
      <c r="G11">
        <v>13.5</v>
      </c>
      <c r="H11">
        <v>14.2</v>
      </c>
      <c r="I11">
        <f t="shared" si="1"/>
        <v>5.9</v>
      </c>
      <c r="J11">
        <f t="shared" si="0"/>
        <v>70.190736470418514</v>
      </c>
      <c r="K11">
        <f>0.0117/0.0022</f>
        <v>5.3181818181818183</v>
      </c>
      <c r="L11">
        <f t="shared" si="2"/>
        <v>25.190736470418514</v>
      </c>
      <c r="M11">
        <f t="shared" si="3"/>
        <v>39.68181818181818</v>
      </c>
    </row>
    <row r="12" spans="1:13">
      <c r="A12">
        <v>55</v>
      </c>
      <c r="B12">
        <v>7.1</v>
      </c>
      <c r="C12">
        <v>7.4</v>
      </c>
      <c r="D12">
        <v>8.6999999999999993</v>
      </c>
      <c r="E12">
        <v>10.4</v>
      </c>
      <c r="F12">
        <v>11.7</v>
      </c>
      <c r="G12">
        <v>12.7</v>
      </c>
      <c r="H12">
        <v>13.2</v>
      </c>
      <c r="I12">
        <f t="shared" si="1"/>
        <v>5.0999999999999996</v>
      </c>
      <c r="J12">
        <f t="shared" si="0"/>
        <v>75.1007396095155</v>
      </c>
      <c r="K12">
        <f>0.0117/0.0022</f>
        <v>5.3181818181818183</v>
      </c>
      <c r="L12">
        <f t="shared" si="2"/>
        <v>20.1007396095155</v>
      </c>
      <c r="M12">
        <f t="shared" si="3"/>
        <v>49.68181818181818</v>
      </c>
    </row>
    <row r="13" spans="1:13">
      <c r="A13">
        <v>65</v>
      </c>
      <c r="B13">
        <v>6.2</v>
      </c>
      <c r="C13">
        <v>6.6</v>
      </c>
      <c r="D13">
        <v>7.6</v>
      </c>
      <c r="E13">
        <v>9.1999999999999993</v>
      </c>
      <c r="F13">
        <v>10.7</v>
      </c>
      <c r="G13">
        <v>11.8</v>
      </c>
      <c r="H13">
        <v>12.2</v>
      </c>
      <c r="I13">
        <f t="shared" si="1"/>
        <v>4.2</v>
      </c>
      <c r="J13">
        <f t="shared" si="0"/>
        <v>80.240855454360783</v>
      </c>
      <c r="K13">
        <f>0.0117/0.0022+SQRT(0.0117^2+4*0.001*(12.958-H13))/0.0022</f>
        <v>30.905861252686542</v>
      </c>
      <c r="L13">
        <f t="shared" si="2"/>
        <v>15.240855454360783</v>
      </c>
      <c r="M13">
        <f t="shared" si="3"/>
        <v>34.094138747313458</v>
      </c>
    </row>
    <row r="14" spans="1:13">
      <c r="A14">
        <v>75</v>
      </c>
      <c r="B14">
        <v>5.4</v>
      </c>
      <c r="C14">
        <v>5.9</v>
      </c>
      <c r="D14">
        <v>6.6</v>
      </c>
      <c r="E14">
        <v>7.8</v>
      </c>
      <c r="F14">
        <v>9.3000000000000007</v>
      </c>
      <c r="G14">
        <v>10.3</v>
      </c>
      <c r="H14">
        <v>10.8</v>
      </c>
      <c r="I14">
        <f t="shared" si="1"/>
        <v>3.4000000000000004</v>
      </c>
      <c r="J14">
        <f t="shared" si="0"/>
        <v>84.530327664552971</v>
      </c>
      <c r="K14">
        <f>0.0117/0.0022+SQRT(0.0117^2+4*0.001*(12.958-H14))/0.0022</f>
        <v>47.88288705892564</v>
      </c>
      <c r="L14">
        <f t="shared" si="2"/>
        <v>9.5303276645529706</v>
      </c>
      <c r="M14">
        <f t="shared" si="3"/>
        <v>27.11711294107436</v>
      </c>
    </row>
    <row r="15" spans="1:13">
      <c r="A15">
        <v>85</v>
      </c>
      <c r="B15">
        <v>4.5</v>
      </c>
      <c r="C15">
        <v>5.0999999999999996</v>
      </c>
      <c r="D15">
        <v>5.5</v>
      </c>
      <c r="E15">
        <v>6.2</v>
      </c>
      <c r="F15">
        <v>7.5</v>
      </c>
      <c r="G15">
        <v>8.3000000000000007</v>
      </c>
      <c r="H15">
        <v>9.1</v>
      </c>
      <c r="I15">
        <f t="shared" si="1"/>
        <v>2.5</v>
      </c>
      <c r="J15">
        <f t="shared" si="0"/>
        <v>89.093868640071477</v>
      </c>
      <c r="K15">
        <f>0.0117/0.0022+SQRT(0.0117^2+4*0.001*(12.958-H15))/0.0022</f>
        <v>62.03425370188473</v>
      </c>
      <c r="L15">
        <f t="shared" si="2"/>
        <v>4.0938686400714772</v>
      </c>
      <c r="M15">
        <f t="shared" si="3"/>
        <v>22.96574629811527</v>
      </c>
    </row>
    <row r="16" spans="1:13">
      <c r="B16" s="31" t="s">
        <v>137</v>
      </c>
    </row>
    <row r="17" spans="1:8">
      <c r="C17" s="31" t="s">
        <v>91</v>
      </c>
    </row>
    <row r="18" spans="1:8">
      <c r="D18" s="31" t="s">
        <v>92</v>
      </c>
    </row>
    <row r="19" spans="1:8" ht="15.6">
      <c r="E19" s="31" t="s">
        <v>86</v>
      </c>
    </row>
    <row r="20" spans="1:8">
      <c r="F20" s="31" t="s">
        <v>90</v>
      </c>
    </row>
    <row r="21" spans="1:8">
      <c r="G21" s="31" t="s">
        <v>93</v>
      </c>
    </row>
    <row r="22" spans="1:8">
      <c r="H22" s="31" t="s">
        <v>94</v>
      </c>
    </row>
    <row r="23" spans="1:8">
      <c r="A23">
        <f>SELECTOR!B5</f>
        <v>37.18611111111111</v>
      </c>
      <c r="B23">
        <f>-4*10^-6*A23^3+0.0009*A23^2-0.1406*A23+12.939</f>
        <v>8.7494741132884943</v>
      </c>
      <c r="C23">
        <f>0.0003*A23^2-0.1171*A23+13.018</f>
        <v>9.0783484467592608</v>
      </c>
      <c r="D23">
        <f>-0.0005*A23^2-0.0433*A23+12.958</f>
        <v>10.656437959104938</v>
      </c>
      <c r="E23">
        <f>-0.0011*A23^2+0.0117*A23+12.958</f>
        <v>11.871989954475309</v>
      </c>
      <c r="F23">
        <f>-1*10^-5*A23^3+0.0013*A23^2-0.0951*A23+15.603</f>
        <v>13.350037655520619</v>
      </c>
      <c r="G23">
        <f>-3*10^-5*A23^3+0.0045*A23^2-0.2661*A23+19.494</f>
        <v>14.278770415635929</v>
      </c>
      <c r="H23">
        <f>-2*10^-5*A23^3+0.0024*A23^2-0.1793*A23+19.19</f>
        <v>14.81284255023877</v>
      </c>
    </row>
    <row r="24" spans="1:8">
      <c r="A24">
        <f>SELECTOR!B6</f>
        <v>11.396165249624779</v>
      </c>
      <c r="B24" t="str">
        <f>IF(A24&gt;=G23,H7,IF(A24&gt;=F23,G7,IF(A24&gt;=D23,B3,IF(A24&gt;=C23,D7,C7))))</f>
        <v>es normal</v>
      </c>
      <c r="C24">
        <f>MATCH(B24,B1:B5,0)</f>
        <v>3</v>
      </c>
    </row>
    <row r="25" spans="1:8">
      <c r="B25">
        <v>5</v>
      </c>
      <c r="C25">
        <v>10</v>
      </c>
      <c r="D25">
        <v>25</v>
      </c>
      <c r="E25">
        <v>50</v>
      </c>
      <c r="F25">
        <v>75</v>
      </c>
      <c r="G25">
        <v>80</v>
      </c>
      <c r="H25">
        <v>95</v>
      </c>
    </row>
    <row r="26" spans="1:8">
      <c r="A26">
        <f>INDEX(B25:H25,1,C24)</f>
        <v>25</v>
      </c>
      <c r="B26">
        <f>INDEX(B23:H23,1,C24)</f>
        <v>10.656437959104938</v>
      </c>
    </row>
    <row r="27" spans="1:8">
      <c r="A27">
        <f>INDEX(B25:H25,1,C24+1)</f>
        <v>50</v>
      </c>
      <c r="B27">
        <f>INDEX(B23:H23,1,C24+1)</f>
        <v>11.871989954475309</v>
      </c>
    </row>
    <row r="28" spans="1:8">
      <c r="A28">
        <f>(A24-B26)/(B27-B26)*(A27-A26)+A26</f>
        <v>40.213814245240314</v>
      </c>
    </row>
  </sheetData>
  <sheetProtection selectLockedCells="1" selectUnlockedCells="1"/>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7D9E0-A16B-4455-870F-851B3B91C299}">
  <sheetPr codeName="Sheet5"/>
  <dimension ref="A1:J42"/>
  <sheetViews>
    <sheetView zoomScale="90" zoomScaleNormal="90" workbookViewId="0">
      <selection activeCell="B4" sqref="B4"/>
    </sheetView>
  </sheetViews>
  <sheetFormatPr defaultColWidth="9.109375" defaultRowHeight="13.8"/>
  <cols>
    <col min="1" max="1" width="18.6640625" style="28" bestFit="1" customWidth="1"/>
    <col min="2" max="2" width="46.5546875" style="28" bestFit="1" customWidth="1"/>
    <col min="3" max="3" width="3.6640625" style="28" bestFit="1" customWidth="1"/>
    <col min="4" max="4" width="12.33203125" style="28" bestFit="1" customWidth="1"/>
    <col min="5" max="5" width="11" style="28" bestFit="1" customWidth="1"/>
    <col min="6" max="16384" width="9.109375" style="28"/>
  </cols>
  <sheetData>
    <row r="1" spans="1:10">
      <c r="B1" s="28">
        <f>MATCH('3)PACIENTES'!G2,SAMPLES!$A$4:$A$99,0)</f>
        <v>1</v>
      </c>
    </row>
    <row r="2" spans="1:10">
      <c r="A2" s="8" t="s">
        <v>25</v>
      </c>
      <c r="B2" t="str">
        <f>INDEX(SAMPLES!$C$4:$C$96,B1)</f>
        <v>MARCELO ENRIQUE POOL SKIADARESSIS</v>
      </c>
      <c r="C2" s="33"/>
      <c r="D2" s="33" t="s">
        <v>66</v>
      </c>
      <c r="E2" s="33" t="s">
        <v>67</v>
      </c>
      <c r="F2" s="33" t="s">
        <v>68</v>
      </c>
      <c r="G2" s="33" t="s">
        <v>69</v>
      </c>
    </row>
    <row r="3" spans="1:10">
      <c r="A3" s="8" t="s">
        <v>26</v>
      </c>
      <c r="B3" s="22">
        <f>INDEX(SAMPLES!$F$4:$F$96,B1)</f>
        <v>44039</v>
      </c>
      <c r="C3" s="33">
        <v>15</v>
      </c>
      <c r="D3" s="33">
        <f>(148.9-C3-7.037)/9.5</f>
        <v>13.353999999999999</v>
      </c>
      <c r="E3" s="33">
        <f>(148.9-C3+7.037)/9.5</f>
        <v>14.835473684210527</v>
      </c>
      <c r="F3" s="33">
        <f>(168-C3-7.52)/11.9</f>
        <v>12.225210084033613</v>
      </c>
      <c r="G3" s="33">
        <f>(168-C3+7.52)/11.9</f>
        <v>13.489075630252101</v>
      </c>
      <c r="I3" s="33">
        <v>0</v>
      </c>
      <c r="J3" s="33">
        <v>0</v>
      </c>
    </row>
    <row r="4" spans="1:10">
      <c r="A4" s="8" t="s">
        <v>29</v>
      </c>
      <c r="B4" s="7">
        <f>INDEX(SAMPLES!$AN$4:$AN$96,B1)</f>
        <v>43.372522318571797</v>
      </c>
      <c r="C4" s="33">
        <v>25</v>
      </c>
      <c r="D4" s="33">
        <f t="shared" ref="D4:D10" si="0">(148.9-C4-7.037)/9.5</f>
        <v>12.301368421052631</v>
      </c>
      <c r="E4" s="33">
        <f t="shared" ref="E4:E10" si="1">(148.9-C4+7.037)/9.5</f>
        <v>13.782842105263159</v>
      </c>
      <c r="F4" s="33">
        <f t="shared" ref="F4:F10" si="2">(168-C4-7.52)/11.9</f>
        <v>11.384873949579831</v>
      </c>
      <c r="G4" s="33">
        <f t="shared" ref="G4:G10" si="3">(168-C4+7.52)/11.9</f>
        <v>12.648739495798321</v>
      </c>
      <c r="I4" s="33">
        <v>100</v>
      </c>
      <c r="J4" s="33">
        <v>100</v>
      </c>
    </row>
    <row r="5" spans="1:10">
      <c r="A5" s="8" t="s">
        <v>30</v>
      </c>
      <c r="B5" s="7">
        <f>INDEX(SAMPLES!$AP$4:$AP$96,B1)</f>
        <v>37.18611111111111</v>
      </c>
      <c r="C5" s="33">
        <v>35</v>
      </c>
      <c r="D5" s="33">
        <f t="shared" si="0"/>
        <v>11.248736842105263</v>
      </c>
      <c r="E5" s="33">
        <f t="shared" si="1"/>
        <v>12.730210526315791</v>
      </c>
      <c r="F5" s="33">
        <f t="shared" si="2"/>
        <v>10.54453781512605</v>
      </c>
      <c r="G5" s="33">
        <f t="shared" si="3"/>
        <v>11.808403361344538</v>
      </c>
    </row>
    <row r="6" spans="1:10">
      <c r="A6" s="8" t="s">
        <v>31</v>
      </c>
      <c r="B6" s="21">
        <f>INDEX(SAMPLES!$AO$4:$AO$96,B1)</f>
        <v>11.396165249624779</v>
      </c>
      <c r="C6" s="33">
        <v>45</v>
      </c>
      <c r="D6" s="33">
        <f t="shared" si="0"/>
        <v>10.196105263157895</v>
      </c>
      <c r="E6" s="33">
        <f t="shared" si="1"/>
        <v>11.677578947368422</v>
      </c>
      <c r="F6" s="33">
        <f t="shared" si="2"/>
        <v>9.7042016806722682</v>
      </c>
      <c r="G6" s="33">
        <f t="shared" si="3"/>
        <v>10.968067226890756</v>
      </c>
    </row>
    <row r="7" spans="1:10">
      <c r="A7" s="9" t="s">
        <v>32</v>
      </c>
      <c r="B7" s="7">
        <f>INDEX(SAMPLES!$AX$4:$AX$96,B1)</f>
        <v>0.13089102151400578</v>
      </c>
      <c r="C7" s="33">
        <v>55</v>
      </c>
      <c r="D7" s="33">
        <f t="shared" si="0"/>
        <v>9.1434736842105266</v>
      </c>
      <c r="E7" s="33">
        <f t="shared" si="1"/>
        <v>10.624947368421054</v>
      </c>
      <c r="F7" s="33">
        <f t="shared" si="2"/>
        <v>8.8638655462184879</v>
      </c>
      <c r="G7" s="33">
        <f t="shared" si="3"/>
        <v>10.127731092436974</v>
      </c>
    </row>
    <row r="8" spans="1:10">
      <c r="A8" s="8" t="s">
        <v>33</v>
      </c>
      <c r="B8" s="7">
        <f>INDEX(SAMPLES!$AZ$4:$AZ$96,B1)</f>
        <v>11.954798086690269</v>
      </c>
      <c r="C8" s="33">
        <v>65</v>
      </c>
      <c r="D8" s="33">
        <f t="shared" si="0"/>
        <v>8.0908421052631585</v>
      </c>
      <c r="E8" s="33">
        <f t="shared" si="1"/>
        <v>9.5723157894736861</v>
      </c>
      <c r="F8" s="33">
        <f t="shared" si="2"/>
        <v>8.0235294117647058</v>
      </c>
      <c r="G8" s="33">
        <f t="shared" si="3"/>
        <v>9.2873949579831923</v>
      </c>
    </row>
    <row r="9" spans="1:10">
      <c r="A9" s="11" t="s">
        <v>34</v>
      </c>
      <c r="B9" s="7">
        <f>INDEX(SAMPLES!$D$4:$D$96,B1)</f>
        <v>17327255</v>
      </c>
      <c r="C9" s="33">
        <v>75</v>
      </c>
      <c r="D9" s="33">
        <f>(148.9-C9-7.037)/9.5</f>
        <v>7.0382105263157895</v>
      </c>
      <c r="E9" s="33">
        <f>(148.9-C9+7.037)/9.5</f>
        <v>8.5196842105263162</v>
      </c>
      <c r="F9" s="33">
        <f>(168-C9-7.52)/11.9</f>
        <v>7.1831932773109246</v>
      </c>
      <c r="G9" s="33">
        <f>(168-C9+7.52)/11.9</f>
        <v>8.447058823529412</v>
      </c>
    </row>
    <row r="10" spans="1:10">
      <c r="A10" s="11" t="s">
        <v>35</v>
      </c>
      <c r="B10" s="7" t="str">
        <f>INDEX(SAMPLES!$E$4:$E$96,B1)</f>
        <v>3</v>
      </c>
      <c r="C10" s="33">
        <v>85</v>
      </c>
      <c r="D10" s="33">
        <f t="shared" si="0"/>
        <v>5.9855789473684213</v>
      </c>
      <c r="E10" s="33">
        <f t="shared" si="1"/>
        <v>7.4670526315789489</v>
      </c>
      <c r="F10" s="33">
        <f t="shared" si="2"/>
        <v>6.3428571428571434</v>
      </c>
      <c r="G10" s="33">
        <f t="shared" si="3"/>
        <v>7.6067226890756299</v>
      </c>
    </row>
    <row r="11" spans="1:10">
      <c r="A11" s="34"/>
    </row>
    <row r="12" spans="1:10">
      <c r="D12" s="41">
        <f>B3-200</f>
        <v>43839</v>
      </c>
      <c r="E12" s="28">
        <v>4</v>
      </c>
    </row>
    <row r="13" spans="1:10">
      <c r="C13" s="35"/>
      <c r="D13" s="41">
        <f>B3+200</f>
        <v>44239</v>
      </c>
      <c r="E13" s="28">
        <v>4</v>
      </c>
    </row>
    <row r="16" spans="1:10">
      <c r="A16" s="34"/>
    </row>
    <row r="34" spans="1:1">
      <c r="A34"/>
    </row>
    <row r="35" spans="1:1">
      <c r="A35"/>
    </row>
    <row r="36" spans="1:1">
      <c r="A36"/>
    </row>
    <row r="37" spans="1:1">
      <c r="A37"/>
    </row>
    <row r="38" spans="1:1">
      <c r="A38"/>
    </row>
    <row r="39" spans="1:1">
      <c r="A39"/>
    </row>
    <row r="40" spans="1:1">
      <c r="A40"/>
    </row>
    <row r="41" spans="1:1">
      <c r="A41"/>
    </row>
    <row r="42" spans="1:1">
      <c r="A42"/>
    </row>
  </sheetData>
  <sheetProtection selectLockedCells="1" selectUnlockedCells="1"/>
  <dataValidations count="1">
    <dataValidation allowBlank="1" showInputMessage="1" showErrorMessage="1" promptTitle="PACIENTE SELECCIONADO" prompt="Copiar contenidos a calculadora" sqref="B2" xr:uid="{C803DF74-79DC-4E3C-A9F9-5E43515501F8}"/>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26896-8A59-495F-BCD7-C31732CF6471}">
  <sheetPr codeName="Sheet10"/>
  <dimension ref="A1:U96"/>
  <sheetViews>
    <sheetView workbookViewId="0">
      <selection activeCell="I20" sqref="I20"/>
    </sheetView>
  </sheetViews>
  <sheetFormatPr defaultRowHeight="13.2"/>
  <cols>
    <col min="1" max="1" width="16.109375" bestFit="1" customWidth="1"/>
    <col min="2" max="2" width="22.6640625" bestFit="1" customWidth="1"/>
    <col min="4" max="7" width="3" bestFit="1" customWidth="1"/>
    <col min="8" max="8" width="15.44140625" customWidth="1"/>
  </cols>
  <sheetData>
    <row r="1" spans="1:21">
      <c r="A1">
        <f>INDEX('2)GRID'!$A$1:$M$17,HIDDEN!E1,HIDDEN!G1)</f>
        <v>0</v>
      </c>
      <c r="B1" t="str">
        <f>INDEX('2)GRID'!$A$1:$M$17,HIDDEN!E1,HIDDEN!G1)&amp;";"&amp;INDEX('2)GRID'!$A$1:$M$17,F1,G1)</f>
        <v>;</v>
      </c>
      <c r="C1" t="str">
        <f t="shared" ref="C1:C8" si="0">J2</f>
        <v>A1</v>
      </c>
      <c r="D1">
        <v>0</v>
      </c>
      <c r="E1">
        <f>MOD(D1*2,16)+2</f>
        <v>2</v>
      </c>
      <c r="F1">
        <f>E1+1</f>
        <v>3</v>
      </c>
      <c r="G1">
        <f>_xlfn.CEILING.MATH((D1+1)/8)+1</f>
        <v>2</v>
      </c>
      <c r="H1">
        <v>0</v>
      </c>
      <c r="I1" s="31"/>
      <c r="J1">
        <v>1</v>
      </c>
      <c r="K1">
        <v>2</v>
      </c>
      <c r="L1">
        <v>3</v>
      </c>
      <c r="M1">
        <v>4</v>
      </c>
      <c r="N1">
        <v>5</v>
      </c>
      <c r="O1">
        <v>6</v>
      </c>
      <c r="P1">
        <v>7</v>
      </c>
      <c r="Q1">
        <v>8</v>
      </c>
      <c r="R1">
        <v>9</v>
      </c>
      <c r="S1">
        <v>10</v>
      </c>
      <c r="T1">
        <v>11</v>
      </c>
      <c r="U1">
        <v>12</v>
      </c>
    </row>
    <row r="2" spans="1:21">
      <c r="A2" t="str">
        <f>INDEX('2)GRID'!$A$1:$M$17,HIDDEN!E2,HIDDEN!G2)</f>
        <v>REF</v>
      </c>
      <c r="B2" t="str">
        <f>INDEX('2)GRID'!$A$1:$M$17,HIDDEN!E2,HIDDEN!G2)&amp;";"&amp;INDEX('2)GRID'!$A$1:$M$17,F2,G2)</f>
        <v>REF;TEL</v>
      </c>
      <c r="C2" t="str">
        <f t="shared" si="0"/>
        <v>B1</v>
      </c>
      <c r="D2">
        <v>1</v>
      </c>
      <c r="E2">
        <f t="shared" ref="E2:E65" si="1">MOD(D2*2,16)+2</f>
        <v>4</v>
      </c>
      <c r="F2">
        <f t="shared" ref="F2:F65" si="2">E2+1</f>
        <v>5</v>
      </c>
      <c r="G2">
        <f t="shared" ref="G2:G65" si="3">_xlfn.CEILING.MATH((D2+1)/8)+1</f>
        <v>2</v>
      </c>
      <c r="H2" t="str">
        <f t="array" ref="H2">IFERROR(INDEX($A$1:$A$96,MATCH(0,COUNTIF($H$1:H1,$A$1:$A$96),0)),"")</f>
        <v>REF</v>
      </c>
      <c r="I2" s="31" t="s">
        <v>13</v>
      </c>
      <c r="J2" t="str">
        <f t="shared" ref="J2:U9" si="4">$I2&amp;J$1</f>
        <v>A1</v>
      </c>
      <c r="K2" t="str">
        <f t="shared" si="4"/>
        <v>A2</v>
      </c>
      <c r="L2" t="str">
        <f t="shared" si="4"/>
        <v>A3</v>
      </c>
      <c r="M2" t="str">
        <f t="shared" si="4"/>
        <v>A4</v>
      </c>
      <c r="N2" t="str">
        <f t="shared" si="4"/>
        <v>A5</v>
      </c>
      <c r="O2" t="str">
        <f t="shared" si="4"/>
        <v>A6</v>
      </c>
      <c r="P2" t="str">
        <f t="shared" si="4"/>
        <v>A7</v>
      </c>
      <c r="Q2" t="str">
        <f t="shared" si="4"/>
        <v>A8</v>
      </c>
      <c r="R2" t="str">
        <f t="shared" si="4"/>
        <v>A9</v>
      </c>
      <c r="S2" t="str">
        <f t="shared" si="4"/>
        <v>A10</v>
      </c>
      <c r="T2" t="str">
        <f t="shared" si="4"/>
        <v>A11</v>
      </c>
      <c r="U2" t="str">
        <f t="shared" si="4"/>
        <v>A12</v>
      </c>
    </row>
    <row r="3" spans="1:21">
      <c r="A3" t="str">
        <f>INDEX('2)GRID'!$A$1:$M$17,HIDDEN!E3,HIDDEN!G3)</f>
        <v>Marcelo</v>
      </c>
      <c r="B3" t="str">
        <f>INDEX('2)GRID'!$A$1:$M$17,HIDDEN!E3,HIDDEN!G3)&amp;";"&amp;INDEX('2)GRID'!$A$1:$M$17,F3,G3)</f>
        <v>Marcelo;TEL</v>
      </c>
      <c r="C3" t="str">
        <f t="shared" si="0"/>
        <v>C1</v>
      </c>
      <c r="D3">
        <v>2</v>
      </c>
      <c r="E3">
        <f t="shared" si="1"/>
        <v>6</v>
      </c>
      <c r="F3">
        <f t="shared" si="2"/>
        <v>7</v>
      </c>
      <c r="G3">
        <f t="shared" si="3"/>
        <v>2</v>
      </c>
      <c r="H3" t="str">
        <f t="array" ref="H3">IFERROR(INDEX($A$1:$A$96,MATCH(0,COUNTIF($H$1:H2,$A$1:$A$96),0)),"")</f>
        <v>Marcelo</v>
      </c>
      <c r="I3" s="31" t="s">
        <v>16</v>
      </c>
      <c r="J3" t="str">
        <f t="shared" si="4"/>
        <v>B1</v>
      </c>
      <c r="K3" t="str">
        <f t="shared" si="4"/>
        <v>B2</v>
      </c>
      <c r="L3" t="str">
        <f t="shared" si="4"/>
        <v>B3</v>
      </c>
      <c r="M3" t="str">
        <f t="shared" si="4"/>
        <v>B4</v>
      </c>
      <c r="N3" t="str">
        <f t="shared" si="4"/>
        <v>B5</v>
      </c>
      <c r="O3" t="str">
        <f t="shared" si="4"/>
        <v>B6</v>
      </c>
      <c r="P3" t="str">
        <f t="shared" si="4"/>
        <v>B7</v>
      </c>
      <c r="Q3" t="str">
        <f t="shared" si="4"/>
        <v>B8</v>
      </c>
      <c r="R3" t="str">
        <f t="shared" si="4"/>
        <v>B9</v>
      </c>
      <c r="S3" t="str">
        <f t="shared" si="4"/>
        <v>B10</v>
      </c>
      <c r="T3" t="str">
        <f t="shared" si="4"/>
        <v>B11</v>
      </c>
      <c r="U3" t="str">
        <f t="shared" si="4"/>
        <v>B12</v>
      </c>
    </row>
    <row r="4" spans="1:21">
      <c r="A4" t="str">
        <f>INDEX('2)GRID'!$A$1:$M$17,HIDDEN!E4,HIDDEN!G4)</f>
        <v>Rafael</v>
      </c>
      <c r="B4" t="str">
        <f>INDEX('2)GRID'!$A$1:$M$17,HIDDEN!E4,HIDDEN!G4)&amp;";"&amp;INDEX('2)GRID'!$A$1:$M$17,F4,G4)</f>
        <v>Rafael;TEL</v>
      </c>
      <c r="C4" t="str">
        <f t="shared" si="0"/>
        <v>D1</v>
      </c>
      <c r="D4">
        <v>3</v>
      </c>
      <c r="E4">
        <f t="shared" si="1"/>
        <v>8</v>
      </c>
      <c r="F4">
        <f t="shared" si="2"/>
        <v>9</v>
      </c>
      <c r="G4">
        <f t="shared" si="3"/>
        <v>2</v>
      </c>
      <c r="H4" t="str">
        <f t="array" ref="H4">IFERROR(INDEX($A$1:$A$96,MATCH(0,COUNTIF($H$1:H3,$A$1:$A$96),0)),"")</f>
        <v>Rafael</v>
      </c>
      <c r="I4" s="31" t="s">
        <v>17</v>
      </c>
      <c r="J4" t="str">
        <f t="shared" si="4"/>
        <v>C1</v>
      </c>
      <c r="K4" t="str">
        <f t="shared" si="4"/>
        <v>C2</v>
      </c>
      <c r="L4" t="str">
        <f t="shared" si="4"/>
        <v>C3</v>
      </c>
      <c r="M4" t="str">
        <f t="shared" si="4"/>
        <v>C4</v>
      </c>
      <c r="N4" t="str">
        <f t="shared" si="4"/>
        <v>C5</v>
      </c>
      <c r="O4" t="str">
        <f t="shared" si="4"/>
        <v>C6</v>
      </c>
      <c r="P4" t="str">
        <f t="shared" si="4"/>
        <v>C7</v>
      </c>
      <c r="Q4" t="str">
        <f t="shared" si="4"/>
        <v>C8</v>
      </c>
      <c r="R4" t="str">
        <f t="shared" si="4"/>
        <v>C9</v>
      </c>
      <c r="S4" t="str">
        <f t="shared" si="4"/>
        <v>C10</v>
      </c>
      <c r="T4" t="str">
        <f t="shared" si="4"/>
        <v>C11</v>
      </c>
      <c r="U4" t="str">
        <f t="shared" si="4"/>
        <v>C12</v>
      </c>
    </row>
    <row r="5" spans="1:21">
      <c r="A5">
        <f>INDEX('2)GRID'!$A$1:$M$17,HIDDEN!E5,HIDDEN!G5)</f>
        <v>0</v>
      </c>
      <c r="B5" t="str">
        <f>INDEX('2)GRID'!$A$1:$M$17,HIDDEN!E5,HIDDEN!G5)&amp;";"&amp;INDEX('2)GRID'!$A$1:$M$17,F5,G5)</f>
        <v>;</v>
      </c>
      <c r="C5" t="str">
        <f t="shared" si="0"/>
        <v>E1</v>
      </c>
      <c r="D5">
        <v>4</v>
      </c>
      <c r="E5">
        <f t="shared" si="1"/>
        <v>10</v>
      </c>
      <c r="F5">
        <f t="shared" si="2"/>
        <v>11</v>
      </c>
      <c r="G5">
        <f t="shared" si="3"/>
        <v>2</v>
      </c>
      <c r="H5" t="str">
        <f t="array" ref="H5">IFERROR(INDEX($A$1:$A$96,MATCH(0,COUNTIF($H$1:H4,$A$1:$A$96),0)),"")</f>
        <v/>
      </c>
      <c r="I5" s="31" t="s">
        <v>18</v>
      </c>
      <c r="J5" t="str">
        <f t="shared" si="4"/>
        <v>D1</v>
      </c>
      <c r="K5" t="str">
        <f t="shared" si="4"/>
        <v>D2</v>
      </c>
      <c r="L5" t="str">
        <f t="shared" si="4"/>
        <v>D3</v>
      </c>
      <c r="M5" t="str">
        <f t="shared" si="4"/>
        <v>D4</v>
      </c>
      <c r="N5" t="str">
        <f t="shared" si="4"/>
        <v>D5</v>
      </c>
      <c r="O5" t="str">
        <f t="shared" si="4"/>
        <v>D6</v>
      </c>
      <c r="P5" t="str">
        <f t="shared" si="4"/>
        <v>D7</v>
      </c>
      <c r="Q5" t="str">
        <f t="shared" si="4"/>
        <v>D8</v>
      </c>
      <c r="R5" t="str">
        <f t="shared" si="4"/>
        <v>D9</v>
      </c>
      <c r="S5" t="str">
        <f t="shared" si="4"/>
        <v>D10</v>
      </c>
      <c r="T5" t="str">
        <f t="shared" si="4"/>
        <v>D11</v>
      </c>
      <c r="U5" t="str">
        <f t="shared" si="4"/>
        <v>D12</v>
      </c>
    </row>
    <row r="6" spans="1:21">
      <c r="A6">
        <f>INDEX('2)GRID'!$A$1:$M$17,HIDDEN!E6,HIDDEN!G6)</f>
        <v>0</v>
      </c>
      <c r="B6" t="str">
        <f>INDEX('2)GRID'!$A$1:$M$17,HIDDEN!E6,HIDDEN!G6)&amp;";"&amp;INDEX('2)GRID'!$A$1:$M$17,F6,G6)</f>
        <v>;</v>
      </c>
      <c r="C6" t="str">
        <f t="shared" si="0"/>
        <v>F1</v>
      </c>
      <c r="D6">
        <v>5</v>
      </c>
      <c r="E6">
        <f t="shared" si="1"/>
        <v>12</v>
      </c>
      <c r="F6">
        <f t="shared" si="2"/>
        <v>13</v>
      </c>
      <c r="G6">
        <f t="shared" si="3"/>
        <v>2</v>
      </c>
      <c r="H6" t="str">
        <f t="array" ref="H6">IFERROR(INDEX($A$1:$A$96,MATCH(0,COUNTIF($H$1:H5,$A$1:$A$96),0)),"")</f>
        <v/>
      </c>
      <c r="I6" s="31" t="s">
        <v>19</v>
      </c>
      <c r="J6" t="str">
        <f t="shared" si="4"/>
        <v>E1</v>
      </c>
      <c r="K6" t="str">
        <f t="shared" si="4"/>
        <v>E2</v>
      </c>
      <c r="L6" t="str">
        <f t="shared" si="4"/>
        <v>E3</v>
      </c>
      <c r="M6" t="str">
        <f t="shared" si="4"/>
        <v>E4</v>
      </c>
      <c r="N6" t="str">
        <f t="shared" si="4"/>
        <v>E5</v>
      </c>
      <c r="O6" t="str">
        <f t="shared" si="4"/>
        <v>E6</v>
      </c>
      <c r="P6" t="str">
        <f t="shared" si="4"/>
        <v>E7</v>
      </c>
      <c r="Q6" t="str">
        <f t="shared" si="4"/>
        <v>E8</v>
      </c>
      <c r="R6" t="str">
        <f t="shared" si="4"/>
        <v>E9</v>
      </c>
      <c r="S6" t="str">
        <f t="shared" si="4"/>
        <v>E10</v>
      </c>
      <c r="T6" t="str">
        <f t="shared" si="4"/>
        <v>E11</v>
      </c>
      <c r="U6" t="str">
        <f t="shared" si="4"/>
        <v>E12</v>
      </c>
    </row>
    <row r="7" spans="1:21">
      <c r="A7">
        <f>INDEX('2)GRID'!$A$1:$M$17,HIDDEN!E7,HIDDEN!G7)</f>
        <v>0</v>
      </c>
      <c r="B7" t="str">
        <f>INDEX('2)GRID'!$A$1:$M$17,HIDDEN!E7,HIDDEN!G7)&amp;";"&amp;INDEX('2)GRID'!$A$1:$M$17,F7,G7)</f>
        <v>;</v>
      </c>
      <c r="C7" t="str">
        <f t="shared" si="0"/>
        <v>G1</v>
      </c>
      <c r="D7">
        <v>6</v>
      </c>
      <c r="E7">
        <f t="shared" si="1"/>
        <v>14</v>
      </c>
      <c r="F7">
        <f t="shared" si="2"/>
        <v>15</v>
      </c>
      <c r="G7">
        <f t="shared" si="3"/>
        <v>2</v>
      </c>
      <c r="H7" t="str">
        <f t="array" ref="H7">IFERROR(INDEX($A$1:$A$96,MATCH(0,COUNTIF($H$1:H6,$A$1:$A$96),0)),"")</f>
        <v/>
      </c>
      <c r="I7" s="31" t="s">
        <v>20</v>
      </c>
      <c r="J7" t="str">
        <f t="shared" si="4"/>
        <v>F1</v>
      </c>
      <c r="K7" t="str">
        <f t="shared" si="4"/>
        <v>F2</v>
      </c>
      <c r="L7" t="str">
        <f t="shared" si="4"/>
        <v>F3</v>
      </c>
      <c r="M7" t="str">
        <f t="shared" si="4"/>
        <v>F4</v>
      </c>
      <c r="N7" t="str">
        <f t="shared" si="4"/>
        <v>F5</v>
      </c>
      <c r="O7" t="str">
        <f t="shared" si="4"/>
        <v>F6</v>
      </c>
      <c r="P7" t="str">
        <f t="shared" si="4"/>
        <v>F7</v>
      </c>
      <c r="Q7" t="str">
        <f t="shared" si="4"/>
        <v>F8</v>
      </c>
      <c r="R7" t="str">
        <f t="shared" si="4"/>
        <v>F9</v>
      </c>
      <c r="S7" t="str">
        <f t="shared" si="4"/>
        <v>F10</v>
      </c>
      <c r="T7" t="str">
        <f t="shared" si="4"/>
        <v>F11</v>
      </c>
      <c r="U7" t="str">
        <f t="shared" si="4"/>
        <v>F12</v>
      </c>
    </row>
    <row r="8" spans="1:21">
      <c r="A8">
        <f>INDEX('2)GRID'!$A$1:$M$17,HIDDEN!E8,HIDDEN!G8)</f>
        <v>0</v>
      </c>
      <c r="B8" t="str">
        <f>INDEX('2)GRID'!$A$1:$M$17,HIDDEN!E8,HIDDEN!G8)&amp;";"&amp;INDEX('2)GRID'!$A$1:$M$17,F8,G8)</f>
        <v>;</v>
      </c>
      <c r="C8" t="str">
        <f t="shared" si="0"/>
        <v>H1</v>
      </c>
      <c r="D8">
        <v>7</v>
      </c>
      <c r="E8">
        <f t="shared" si="1"/>
        <v>16</v>
      </c>
      <c r="F8">
        <f t="shared" si="2"/>
        <v>17</v>
      </c>
      <c r="G8">
        <f t="shared" si="3"/>
        <v>2</v>
      </c>
      <c r="H8" t="str">
        <f t="array" ref="H8">IFERROR(INDEX($A$1:$A$96,MATCH(0,COUNTIF($H$1:H7,$A$1:$A$96),0)),"")</f>
        <v/>
      </c>
      <c r="I8" s="31" t="s">
        <v>21</v>
      </c>
      <c r="J8" t="str">
        <f t="shared" si="4"/>
        <v>G1</v>
      </c>
      <c r="K8" t="str">
        <f t="shared" si="4"/>
        <v>G2</v>
      </c>
      <c r="L8" t="str">
        <f t="shared" si="4"/>
        <v>G3</v>
      </c>
      <c r="M8" t="str">
        <f t="shared" si="4"/>
        <v>G4</v>
      </c>
      <c r="N8" t="str">
        <f t="shared" si="4"/>
        <v>G5</v>
      </c>
      <c r="O8" t="str">
        <f t="shared" si="4"/>
        <v>G6</v>
      </c>
      <c r="P8" t="str">
        <f t="shared" si="4"/>
        <v>G7</v>
      </c>
      <c r="Q8" t="str">
        <f t="shared" si="4"/>
        <v>G8</v>
      </c>
      <c r="R8" t="str">
        <f t="shared" si="4"/>
        <v>G9</v>
      </c>
      <c r="S8" t="str">
        <f t="shared" si="4"/>
        <v>G10</v>
      </c>
      <c r="T8" t="str">
        <f t="shared" si="4"/>
        <v>G11</v>
      </c>
      <c r="U8" t="str">
        <f t="shared" si="4"/>
        <v>G12</v>
      </c>
    </row>
    <row r="9" spans="1:21">
      <c r="A9">
        <f>INDEX('2)GRID'!$A$1:$M$17,HIDDEN!E9,HIDDEN!G9)</f>
        <v>0</v>
      </c>
      <c r="B9" t="str">
        <f>INDEX('2)GRID'!$A$1:$M$17,HIDDEN!E9,HIDDEN!G9)&amp;";"&amp;INDEX('2)GRID'!$A$1:$M$17,F9,G9)</f>
        <v>;</v>
      </c>
      <c r="C9" t="str">
        <f t="shared" ref="C9:C16" si="5">K2</f>
        <v>A2</v>
      </c>
      <c r="D9">
        <v>8</v>
      </c>
      <c r="E9">
        <f t="shared" si="1"/>
        <v>2</v>
      </c>
      <c r="F9">
        <f t="shared" si="2"/>
        <v>3</v>
      </c>
      <c r="G9">
        <f t="shared" si="3"/>
        <v>3</v>
      </c>
      <c r="H9" t="str">
        <f t="array" ref="H9">IFERROR(INDEX($A$1:$A$96,MATCH(0,COUNTIF($H$1:H8,$A$1:$A$96),0)),"")</f>
        <v/>
      </c>
      <c r="I9" s="31" t="s">
        <v>22</v>
      </c>
      <c r="J9" t="str">
        <f t="shared" si="4"/>
        <v>H1</v>
      </c>
      <c r="K9" t="str">
        <f t="shared" si="4"/>
        <v>H2</v>
      </c>
      <c r="L9" t="str">
        <f t="shared" si="4"/>
        <v>H3</v>
      </c>
      <c r="M9" t="str">
        <f t="shared" si="4"/>
        <v>H4</v>
      </c>
      <c r="N9" t="str">
        <f t="shared" si="4"/>
        <v>H5</v>
      </c>
      <c r="O9" t="str">
        <f t="shared" si="4"/>
        <v>H6</v>
      </c>
      <c r="P9" t="str">
        <f t="shared" si="4"/>
        <v>H7</v>
      </c>
      <c r="Q9" t="str">
        <f t="shared" si="4"/>
        <v>H8</v>
      </c>
      <c r="R9" t="str">
        <f t="shared" si="4"/>
        <v>H9</v>
      </c>
      <c r="S9" t="str">
        <f t="shared" si="4"/>
        <v>H10</v>
      </c>
      <c r="T9" t="str">
        <f t="shared" si="4"/>
        <v>H11</v>
      </c>
      <c r="U9" t="str">
        <f t="shared" si="4"/>
        <v>H12</v>
      </c>
    </row>
    <row r="10" spans="1:21">
      <c r="A10" t="str">
        <f>INDEX('2)GRID'!$A$1:$M$17,HIDDEN!E10,HIDDEN!G10)</f>
        <v>REF</v>
      </c>
      <c r="B10" t="str">
        <f>INDEX('2)GRID'!$A$1:$M$17,HIDDEN!E10,HIDDEN!G10)&amp;";"&amp;INDEX('2)GRID'!$A$1:$M$17,F10,G10)</f>
        <v>REF;SCR</v>
      </c>
      <c r="C10" t="str">
        <f t="shared" si="5"/>
        <v>B2</v>
      </c>
      <c r="D10">
        <v>9</v>
      </c>
      <c r="E10">
        <f t="shared" si="1"/>
        <v>4</v>
      </c>
      <c r="F10">
        <f t="shared" si="2"/>
        <v>5</v>
      </c>
      <c r="G10">
        <f t="shared" si="3"/>
        <v>3</v>
      </c>
      <c r="H10" t="str">
        <f t="array" ref="H10">IFERROR(INDEX($A$1:$A$96,MATCH(0,COUNTIF($H$1:H9,$A$1:$A$96),0)),"")</f>
        <v/>
      </c>
      <c r="I10">
        <v>0</v>
      </c>
    </row>
    <row r="11" spans="1:21">
      <c r="A11" t="str">
        <f>INDEX('2)GRID'!$A$1:$M$17,HIDDEN!E11,HIDDEN!G11)</f>
        <v>Marcelo</v>
      </c>
      <c r="B11" t="str">
        <f>INDEX('2)GRID'!$A$1:$M$17,HIDDEN!E11,HIDDEN!G11)&amp;";"&amp;INDEX('2)GRID'!$A$1:$M$17,F11,G11)</f>
        <v>Marcelo;SCR</v>
      </c>
      <c r="C11" t="str">
        <f t="shared" si="5"/>
        <v>C2</v>
      </c>
      <c r="D11">
        <v>10</v>
      </c>
      <c r="E11">
        <f t="shared" si="1"/>
        <v>6</v>
      </c>
      <c r="F11">
        <f t="shared" si="2"/>
        <v>7</v>
      </c>
      <c r="G11">
        <f t="shared" si="3"/>
        <v>3</v>
      </c>
      <c r="H11" t="str">
        <f t="array" ref="H11">IFERROR(INDEX($A$1:$A$96,MATCH(0,COUNTIF($H$1:H10,$A$1:$A$96),0)),"")</f>
        <v/>
      </c>
      <c r="I11">
        <v>1</v>
      </c>
    </row>
    <row r="12" spans="1:21">
      <c r="A12" t="str">
        <f>INDEX('2)GRID'!$A$1:$M$17,HIDDEN!E12,HIDDEN!G12)</f>
        <v>Rafael</v>
      </c>
      <c r="B12" t="str">
        <f>INDEX('2)GRID'!$A$1:$M$17,HIDDEN!E12,HIDDEN!G12)&amp;";"&amp;INDEX('2)GRID'!$A$1:$M$17,F12,G12)</f>
        <v>Rafael;SCR</v>
      </c>
      <c r="C12" t="str">
        <f t="shared" si="5"/>
        <v>D2</v>
      </c>
      <c r="D12">
        <v>11</v>
      </c>
      <c r="E12">
        <f t="shared" si="1"/>
        <v>8</v>
      </c>
      <c r="F12">
        <f t="shared" si="2"/>
        <v>9</v>
      </c>
      <c r="G12">
        <f t="shared" si="3"/>
        <v>3</v>
      </c>
      <c r="H12" t="str">
        <f t="array" ref="H12">IFERROR(INDEX($A$1:$A$96,MATCH(0,COUNTIF($H$1:H11,$A$1:$A$96),0)),"")</f>
        <v/>
      </c>
      <c r="I12">
        <v>2</v>
      </c>
    </row>
    <row r="13" spans="1:21">
      <c r="A13">
        <f>INDEX('2)GRID'!$A$1:$M$17,HIDDEN!E13,HIDDEN!G13)</f>
        <v>0</v>
      </c>
      <c r="B13" t="str">
        <f>INDEX('2)GRID'!$A$1:$M$17,HIDDEN!E13,HIDDEN!G13)&amp;";"&amp;INDEX('2)GRID'!$A$1:$M$17,F13,G13)</f>
        <v>;</v>
      </c>
      <c r="C13" t="str">
        <f t="shared" si="5"/>
        <v>E2</v>
      </c>
      <c r="D13">
        <v>12</v>
      </c>
      <c r="E13">
        <f t="shared" si="1"/>
        <v>10</v>
      </c>
      <c r="F13">
        <f t="shared" si="2"/>
        <v>11</v>
      </c>
      <c r="G13">
        <f t="shared" si="3"/>
        <v>3</v>
      </c>
      <c r="H13" t="str">
        <f t="array" ref="H13">IFERROR(INDEX($A$1:$A$96,MATCH(0,COUNTIF($H$1:H12,$A$1:$A$96),0)),"")</f>
        <v/>
      </c>
      <c r="I13">
        <v>3</v>
      </c>
    </row>
    <row r="14" spans="1:21">
      <c r="A14">
        <f>INDEX('2)GRID'!$A$1:$M$17,HIDDEN!E14,HIDDEN!G14)</f>
        <v>0</v>
      </c>
      <c r="B14" t="str">
        <f>INDEX('2)GRID'!$A$1:$M$17,HIDDEN!E14,HIDDEN!G14)&amp;";"&amp;INDEX('2)GRID'!$A$1:$M$17,F14,G14)</f>
        <v>;</v>
      </c>
      <c r="C14" t="str">
        <f t="shared" si="5"/>
        <v>F2</v>
      </c>
      <c r="D14">
        <v>13</v>
      </c>
      <c r="E14">
        <f t="shared" si="1"/>
        <v>12</v>
      </c>
      <c r="F14">
        <f t="shared" si="2"/>
        <v>13</v>
      </c>
      <c r="G14">
        <f t="shared" si="3"/>
        <v>3</v>
      </c>
      <c r="H14" t="str">
        <f t="array" ref="H14">IFERROR(INDEX($A$1:$A$96,MATCH(0,COUNTIF($H$1:H13,$A$1:$A$96),0)),"")</f>
        <v/>
      </c>
      <c r="I14">
        <v>4</v>
      </c>
    </row>
    <row r="15" spans="1:21">
      <c r="A15">
        <f>INDEX('2)GRID'!$A$1:$M$17,HIDDEN!E15,HIDDEN!G15)</f>
        <v>0</v>
      </c>
      <c r="B15" t="str">
        <f>INDEX('2)GRID'!$A$1:$M$17,HIDDEN!E15,HIDDEN!G15)&amp;";"&amp;INDEX('2)GRID'!$A$1:$M$17,F15,G15)</f>
        <v>;</v>
      </c>
      <c r="C15" t="str">
        <f t="shared" si="5"/>
        <v>G2</v>
      </c>
      <c r="D15">
        <v>14</v>
      </c>
      <c r="E15">
        <f t="shared" si="1"/>
        <v>14</v>
      </c>
      <c r="F15">
        <f t="shared" si="2"/>
        <v>15</v>
      </c>
      <c r="G15">
        <f t="shared" si="3"/>
        <v>3</v>
      </c>
      <c r="H15" t="str">
        <f t="array" ref="H15">IFERROR(INDEX($A$1:$A$96,MATCH(0,COUNTIF($H$1:H14,$A$1:$A$96),0)),"")</f>
        <v/>
      </c>
      <c r="I15">
        <v>5</v>
      </c>
    </row>
    <row r="16" spans="1:21">
      <c r="A16">
        <f>INDEX('2)GRID'!$A$1:$M$17,HIDDEN!E16,HIDDEN!G16)</f>
        <v>0</v>
      </c>
      <c r="B16" t="str">
        <f>INDEX('2)GRID'!$A$1:$M$17,HIDDEN!E16,HIDDEN!G16)&amp;";"&amp;INDEX('2)GRID'!$A$1:$M$17,F16,G16)</f>
        <v>;</v>
      </c>
      <c r="C16" t="str">
        <f t="shared" si="5"/>
        <v>H2</v>
      </c>
      <c r="D16">
        <v>15</v>
      </c>
      <c r="E16">
        <f t="shared" si="1"/>
        <v>16</v>
      </c>
      <c r="F16">
        <f t="shared" si="2"/>
        <v>17</v>
      </c>
      <c r="G16">
        <f t="shared" si="3"/>
        <v>3</v>
      </c>
      <c r="H16" t="str">
        <f t="array" ref="H16">IFERROR(INDEX($A$1:$A$96,MATCH(0,COUNTIF($H$1:H15,$A$1:$A$96),0)),"")</f>
        <v/>
      </c>
      <c r="I16">
        <v>6</v>
      </c>
    </row>
    <row r="17" spans="1:9">
      <c r="A17">
        <f>INDEX('2)GRID'!$A$1:$M$17,HIDDEN!E17,HIDDEN!G17)</f>
        <v>0</v>
      </c>
      <c r="B17" t="str">
        <f>INDEX('2)GRID'!$A$1:$M$17,HIDDEN!E17,HIDDEN!G17)&amp;";"&amp;INDEX('2)GRID'!$A$1:$M$17,F17,G17)</f>
        <v>;</v>
      </c>
      <c r="C17" t="str">
        <f t="shared" ref="C17:C24" si="6">L2</f>
        <v>A3</v>
      </c>
      <c r="D17">
        <v>16</v>
      </c>
      <c r="E17">
        <f t="shared" si="1"/>
        <v>2</v>
      </c>
      <c r="F17">
        <f t="shared" si="2"/>
        <v>3</v>
      </c>
      <c r="G17">
        <f t="shared" si="3"/>
        <v>4</v>
      </c>
      <c r="H17" t="str">
        <f t="array" ref="H17">IFERROR(INDEX($A$1:$A$96,MATCH(0,COUNTIF($H$1:H16,$A$1:$A$96),0)),"")</f>
        <v/>
      </c>
      <c r="I17">
        <v>7</v>
      </c>
    </row>
    <row r="18" spans="1:9">
      <c r="A18">
        <f>INDEX('2)GRID'!$A$1:$M$17,HIDDEN!E18,HIDDEN!G18)</f>
        <v>0</v>
      </c>
      <c r="B18" t="str">
        <f>INDEX('2)GRID'!$A$1:$M$17,HIDDEN!E18,HIDDEN!G18)&amp;";"&amp;INDEX('2)GRID'!$A$1:$M$17,F18,G18)</f>
        <v>;</v>
      </c>
      <c r="C18" t="str">
        <f t="shared" si="6"/>
        <v>B3</v>
      </c>
      <c r="D18">
        <v>17</v>
      </c>
      <c r="E18">
        <f t="shared" si="1"/>
        <v>4</v>
      </c>
      <c r="F18">
        <f t="shared" si="2"/>
        <v>5</v>
      </c>
      <c r="G18">
        <f t="shared" si="3"/>
        <v>4</v>
      </c>
      <c r="H18" t="str">
        <f t="array" ref="H18">IFERROR(INDEX($A$1:$A$96,MATCH(0,COUNTIF($H$1:H17,$A$1:$A$96),0)),"")</f>
        <v/>
      </c>
      <c r="I18">
        <v>8</v>
      </c>
    </row>
    <row r="19" spans="1:9">
      <c r="A19">
        <f>INDEX('2)GRID'!$A$1:$M$17,HIDDEN!E19,HIDDEN!G19)</f>
        <v>0</v>
      </c>
      <c r="B19" t="str">
        <f>INDEX('2)GRID'!$A$1:$M$17,HIDDEN!E19,HIDDEN!G19)&amp;";"&amp;INDEX('2)GRID'!$A$1:$M$17,F19,G19)</f>
        <v>;</v>
      </c>
      <c r="C19" t="str">
        <f t="shared" si="6"/>
        <v>C3</v>
      </c>
      <c r="D19">
        <v>18</v>
      </c>
      <c r="E19">
        <f t="shared" si="1"/>
        <v>6</v>
      </c>
      <c r="F19">
        <f t="shared" si="2"/>
        <v>7</v>
      </c>
      <c r="G19">
        <f t="shared" si="3"/>
        <v>4</v>
      </c>
      <c r="H19" t="str">
        <f t="array" ref="H19">IFERROR(INDEX($A$1:$A$96,MATCH(0,COUNTIF($H$1:H18,$A$1:$A$96),0)),"")</f>
        <v/>
      </c>
      <c r="I19">
        <v>9</v>
      </c>
    </row>
    <row r="20" spans="1:9">
      <c r="A20">
        <f>INDEX('2)GRID'!$A$1:$M$17,HIDDEN!E20,HIDDEN!G20)</f>
        <v>0</v>
      </c>
      <c r="B20" t="str">
        <f>INDEX('2)GRID'!$A$1:$M$17,HIDDEN!E20,HIDDEN!G20)&amp;";"&amp;INDEX('2)GRID'!$A$1:$M$17,F20,G20)</f>
        <v>;</v>
      </c>
      <c r="C20" t="str">
        <f t="shared" si="6"/>
        <v>D3</v>
      </c>
      <c r="D20">
        <v>19</v>
      </c>
      <c r="E20">
        <f t="shared" si="1"/>
        <v>8</v>
      </c>
      <c r="F20">
        <f t="shared" si="2"/>
        <v>9</v>
      </c>
      <c r="G20">
        <f t="shared" si="3"/>
        <v>4</v>
      </c>
      <c r="H20" t="str">
        <f t="array" ref="H20">IFERROR(INDEX($A$1:$A$96,MATCH(0,COUNTIF($H$1:H19,$A$1:$A$96),0)),"")</f>
        <v/>
      </c>
      <c r="I20" s="31" t="s">
        <v>107</v>
      </c>
    </row>
    <row r="21" spans="1:9">
      <c r="A21">
        <f>INDEX('2)GRID'!$A$1:$M$17,HIDDEN!E21,HIDDEN!G21)</f>
        <v>0</v>
      </c>
      <c r="B21" t="str">
        <f>INDEX('2)GRID'!$A$1:$M$17,HIDDEN!E21,HIDDEN!G21)&amp;";"&amp;INDEX('2)GRID'!$A$1:$M$17,F21,G21)</f>
        <v>;</v>
      </c>
      <c r="C21" t="str">
        <f t="shared" si="6"/>
        <v>E3</v>
      </c>
      <c r="D21">
        <v>20</v>
      </c>
      <c r="E21">
        <f t="shared" si="1"/>
        <v>10</v>
      </c>
      <c r="F21">
        <f t="shared" si="2"/>
        <v>11</v>
      </c>
      <c r="G21">
        <f t="shared" si="3"/>
        <v>4</v>
      </c>
      <c r="H21" t="str">
        <f t="array" ref="H21">IFERROR(INDEX($A$1:$A$96,MATCH(0,COUNTIF($H$1:H20,$A$1:$A$96),0)),"")</f>
        <v/>
      </c>
    </row>
    <row r="22" spans="1:9">
      <c r="A22">
        <f>INDEX('2)GRID'!$A$1:$M$17,HIDDEN!E22,HIDDEN!G22)</f>
        <v>0</v>
      </c>
      <c r="B22" t="str">
        <f>INDEX('2)GRID'!$A$1:$M$17,HIDDEN!E22,HIDDEN!G22)&amp;";"&amp;INDEX('2)GRID'!$A$1:$M$17,F22,G22)</f>
        <v>;</v>
      </c>
      <c r="C22" t="str">
        <f t="shared" si="6"/>
        <v>F3</v>
      </c>
      <c r="D22">
        <v>21</v>
      </c>
      <c r="E22">
        <f t="shared" si="1"/>
        <v>12</v>
      </c>
      <c r="F22">
        <f t="shared" si="2"/>
        <v>13</v>
      </c>
      <c r="G22">
        <f t="shared" si="3"/>
        <v>4</v>
      </c>
      <c r="H22" t="str">
        <f t="array" ref="H22">IFERROR(INDEX($A$1:$A$96,MATCH(0,COUNTIF($H$1:H21,$A$1:$A$96),0)),"")</f>
        <v/>
      </c>
    </row>
    <row r="23" spans="1:9">
      <c r="A23">
        <f>INDEX('2)GRID'!$A$1:$M$17,HIDDEN!E23,HIDDEN!G23)</f>
        <v>0</v>
      </c>
      <c r="B23" t="str">
        <f>INDEX('2)GRID'!$A$1:$M$17,HIDDEN!E23,HIDDEN!G23)&amp;";"&amp;INDEX('2)GRID'!$A$1:$M$17,F23,G23)</f>
        <v>;</v>
      </c>
      <c r="C23" t="str">
        <f t="shared" si="6"/>
        <v>G3</v>
      </c>
      <c r="D23">
        <v>22</v>
      </c>
      <c r="E23">
        <f t="shared" si="1"/>
        <v>14</v>
      </c>
      <c r="F23">
        <f t="shared" si="2"/>
        <v>15</v>
      </c>
      <c r="G23">
        <f t="shared" si="3"/>
        <v>4</v>
      </c>
      <c r="H23" t="str">
        <f t="array" ref="H23">IFERROR(INDEX($A$1:$A$96,MATCH(0,COUNTIF($H$1:H22,$A$1:$A$96),0)),"")</f>
        <v/>
      </c>
    </row>
    <row r="24" spans="1:9">
      <c r="A24">
        <f>INDEX('2)GRID'!$A$1:$M$17,HIDDEN!E24,HIDDEN!G24)</f>
        <v>0</v>
      </c>
      <c r="B24" t="str">
        <f>INDEX('2)GRID'!$A$1:$M$17,HIDDEN!E24,HIDDEN!G24)&amp;";"&amp;INDEX('2)GRID'!$A$1:$M$17,F24,G24)</f>
        <v>;</v>
      </c>
      <c r="C24" t="str">
        <f t="shared" si="6"/>
        <v>H3</v>
      </c>
      <c r="D24">
        <v>23</v>
      </c>
      <c r="E24">
        <f t="shared" si="1"/>
        <v>16</v>
      </c>
      <c r="F24">
        <f t="shared" si="2"/>
        <v>17</v>
      </c>
      <c r="G24">
        <f t="shared" si="3"/>
        <v>4</v>
      </c>
      <c r="H24" t="str">
        <f t="array" ref="H24">IFERROR(INDEX($A$1:$A$96,MATCH(0,COUNTIF($H$1:H23,$A$1:$A$96),0)),"")</f>
        <v/>
      </c>
    </row>
    <row r="25" spans="1:9">
      <c r="A25">
        <f>INDEX('2)GRID'!$A$1:$M$17,HIDDEN!E25,HIDDEN!G25)</f>
        <v>0</v>
      </c>
      <c r="B25" t="str">
        <f>INDEX('2)GRID'!$A$1:$M$17,HIDDEN!E25,HIDDEN!G25)&amp;";"&amp;INDEX('2)GRID'!$A$1:$M$17,F25,G25)</f>
        <v>;</v>
      </c>
      <c r="C25" t="str">
        <f t="shared" ref="C25:C32" si="7">M2</f>
        <v>A4</v>
      </c>
      <c r="D25">
        <v>24</v>
      </c>
      <c r="E25">
        <f t="shared" si="1"/>
        <v>2</v>
      </c>
      <c r="F25">
        <f t="shared" si="2"/>
        <v>3</v>
      </c>
      <c r="G25">
        <f t="shared" si="3"/>
        <v>5</v>
      </c>
      <c r="H25" t="str">
        <f t="array" ref="H25">IFERROR(INDEX($A$1:$A$96,MATCH(0,COUNTIF($H$1:H24,$A$1:$A$96),0)),"")</f>
        <v/>
      </c>
    </row>
    <row r="26" spans="1:9">
      <c r="A26">
        <f>INDEX('2)GRID'!$A$1:$M$17,HIDDEN!E26,HIDDEN!G26)</f>
        <v>0</v>
      </c>
      <c r="B26" t="str">
        <f>INDEX('2)GRID'!$A$1:$M$17,HIDDEN!E26,HIDDEN!G26)&amp;";"&amp;INDEX('2)GRID'!$A$1:$M$17,F26,G26)</f>
        <v>;</v>
      </c>
      <c r="C26" t="str">
        <f t="shared" si="7"/>
        <v>B4</v>
      </c>
      <c r="D26">
        <v>25</v>
      </c>
      <c r="E26">
        <f t="shared" si="1"/>
        <v>4</v>
      </c>
      <c r="F26">
        <f t="shared" si="2"/>
        <v>5</v>
      </c>
      <c r="G26">
        <f t="shared" si="3"/>
        <v>5</v>
      </c>
      <c r="H26" t="str">
        <f t="array" ref="H26">IFERROR(INDEX($A$1:$A$96,MATCH(0,COUNTIF($H$1:H25,$A$1:$A$96),0)),"")</f>
        <v/>
      </c>
    </row>
    <row r="27" spans="1:9">
      <c r="A27">
        <f>INDEX('2)GRID'!$A$1:$M$17,HIDDEN!E27,HIDDEN!G27)</f>
        <v>0</v>
      </c>
      <c r="B27" t="str">
        <f>INDEX('2)GRID'!$A$1:$M$17,HIDDEN!E27,HIDDEN!G27)&amp;";"&amp;INDEX('2)GRID'!$A$1:$M$17,F27,G27)</f>
        <v>;</v>
      </c>
      <c r="C27" t="str">
        <f t="shared" si="7"/>
        <v>C4</v>
      </c>
      <c r="D27">
        <v>26</v>
      </c>
      <c r="E27">
        <f t="shared" si="1"/>
        <v>6</v>
      </c>
      <c r="F27">
        <f t="shared" si="2"/>
        <v>7</v>
      </c>
      <c r="G27">
        <f t="shared" si="3"/>
        <v>5</v>
      </c>
      <c r="H27" t="str">
        <f t="array" ref="H27">IFERROR(INDEX($A$1:$A$96,MATCH(0,COUNTIF($H$1:H26,$A$1:$A$96),0)),"")</f>
        <v/>
      </c>
    </row>
    <row r="28" spans="1:9">
      <c r="A28">
        <f>INDEX('2)GRID'!$A$1:$M$17,HIDDEN!E28,HIDDEN!G28)</f>
        <v>0</v>
      </c>
      <c r="B28" t="str">
        <f>INDEX('2)GRID'!$A$1:$M$17,HIDDEN!E28,HIDDEN!G28)&amp;";"&amp;INDEX('2)GRID'!$A$1:$M$17,F28,G28)</f>
        <v>;</v>
      </c>
      <c r="C28" t="str">
        <f t="shared" si="7"/>
        <v>D4</v>
      </c>
      <c r="D28">
        <v>27</v>
      </c>
      <c r="E28">
        <f t="shared" si="1"/>
        <v>8</v>
      </c>
      <c r="F28">
        <f t="shared" si="2"/>
        <v>9</v>
      </c>
      <c r="G28">
        <f t="shared" si="3"/>
        <v>5</v>
      </c>
      <c r="H28" t="str">
        <f t="array" ref="H28">IFERROR(INDEX($A$1:$A$96,MATCH(0,COUNTIF($H$1:H27,$A$1:$A$96),0)),"")</f>
        <v/>
      </c>
    </row>
    <row r="29" spans="1:9">
      <c r="A29">
        <f>INDEX('2)GRID'!$A$1:$M$17,HIDDEN!E29,HIDDEN!G29)</f>
        <v>0</v>
      </c>
      <c r="B29" t="str">
        <f>INDEX('2)GRID'!$A$1:$M$17,HIDDEN!E29,HIDDEN!G29)&amp;";"&amp;INDEX('2)GRID'!$A$1:$M$17,F29,G29)</f>
        <v>;</v>
      </c>
      <c r="C29" t="str">
        <f t="shared" si="7"/>
        <v>E4</v>
      </c>
      <c r="D29">
        <v>28</v>
      </c>
      <c r="E29">
        <f t="shared" si="1"/>
        <v>10</v>
      </c>
      <c r="F29">
        <f t="shared" si="2"/>
        <v>11</v>
      </c>
      <c r="G29">
        <f t="shared" si="3"/>
        <v>5</v>
      </c>
      <c r="H29" t="str">
        <f t="array" ref="H29">IFERROR(INDEX($A$1:$A$96,MATCH(0,COUNTIF($H$1:H28,$A$1:$A$96),0)),"")</f>
        <v/>
      </c>
    </row>
    <row r="30" spans="1:9">
      <c r="A30">
        <f>INDEX('2)GRID'!$A$1:$M$17,HIDDEN!E30,HIDDEN!G30)</f>
        <v>0</v>
      </c>
      <c r="B30" t="str">
        <f>INDEX('2)GRID'!$A$1:$M$17,HIDDEN!E30,HIDDEN!G30)&amp;";"&amp;INDEX('2)GRID'!$A$1:$M$17,F30,G30)</f>
        <v>;</v>
      </c>
      <c r="C30" t="str">
        <f t="shared" si="7"/>
        <v>F4</v>
      </c>
      <c r="D30">
        <v>29</v>
      </c>
      <c r="E30">
        <f t="shared" si="1"/>
        <v>12</v>
      </c>
      <c r="F30">
        <f t="shared" si="2"/>
        <v>13</v>
      </c>
      <c r="G30">
        <f t="shared" si="3"/>
        <v>5</v>
      </c>
      <c r="H30" t="str">
        <f t="array" ref="H30">IFERROR(INDEX($A$1:$A$96,MATCH(0,COUNTIF($H$1:H29,$A$1:$A$96),0)),"")</f>
        <v/>
      </c>
    </row>
    <row r="31" spans="1:9">
      <c r="A31">
        <f>INDEX('2)GRID'!$A$1:$M$17,HIDDEN!E31,HIDDEN!G31)</f>
        <v>0</v>
      </c>
      <c r="B31" t="str">
        <f>INDEX('2)GRID'!$A$1:$M$17,HIDDEN!E31,HIDDEN!G31)&amp;";"&amp;INDEX('2)GRID'!$A$1:$M$17,F31,G31)</f>
        <v>;</v>
      </c>
      <c r="C31" t="str">
        <f t="shared" si="7"/>
        <v>G4</v>
      </c>
      <c r="D31">
        <v>30</v>
      </c>
      <c r="E31">
        <f t="shared" si="1"/>
        <v>14</v>
      </c>
      <c r="F31">
        <f t="shared" si="2"/>
        <v>15</v>
      </c>
      <c r="G31">
        <f t="shared" si="3"/>
        <v>5</v>
      </c>
      <c r="H31" t="str">
        <f t="array" ref="H31">IFERROR(INDEX($A$1:$A$96,MATCH(0,COUNTIF($H$1:H30,$A$1:$A$96),0)),"")</f>
        <v/>
      </c>
    </row>
    <row r="32" spans="1:9">
      <c r="A32">
        <f>INDEX('2)GRID'!$A$1:$M$17,HIDDEN!E32,HIDDEN!G32)</f>
        <v>0</v>
      </c>
      <c r="B32" t="str">
        <f>INDEX('2)GRID'!$A$1:$M$17,HIDDEN!E32,HIDDEN!G32)&amp;";"&amp;INDEX('2)GRID'!$A$1:$M$17,F32,G32)</f>
        <v>;</v>
      </c>
      <c r="C32" t="str">
        <f t="shared" si="7"/>
        <v>H4</v>
      </c>
      <c r="D32">
        <v>31</v>
      </c>
      <c r="E32">
        <f t="shared" si="1"/>
        <v>16</v>
      </c>
      <c r="F32">
        <f t="shared" si="2"/>
        <v>17</v>
      </c>
      <c r="G32">
        <f t="shared" si="3"/>
        <v>5</v>
      </c>
      <c r="H32" t="str">
        <f t="array" ref="H32">IFERROR(INDEX($A$1:$A$96,MATCH(0,COUNTIF($H$1:H31,$A$1:$A$96),0)),"")</f>
        <v/>
      </c>
    </row>
    <row r="33" spans="1:8">
      <c r="A33">
        <f>INDEX('2)GRID'!$A$1:$M$17,HIDDEN!E33,HIDDEN!G33)</f>
        <v>0</v>
      </c>
      <c r="B33" t="str">
        <f>INDEX('2)GRID'!$A$1:$M$17,HIDDEN!E33,HIDDEN!G33)&amp;";"&amp;INDEX('2)GRID'!$A$1:$M$17,F33,G33)</f>
        <v>;</v>
      </c>
      <c r="C33" t="str">
        <f t="shared" ref="C33:C40" si="8">N2</f>
        <v>A5</v>
      </c>
      <c r="D33">
        <v>32</v>
      </c>
      <c r="E33">
        <f t="shared" si="1"/>
        <v>2</v>
      </c>
      <c r="F33">
        <f t="shared" si="2"/>
        <v>3</v>
      </c>
      <c r="G33">
        <f t="shared" si="3"/>
        <v>6</v>
      </c>
      <c r="H33" t="str">
        <f t="array" ref="H33">IFERROR(INDEX($A$1:$A$96,MATCH(0,COUNTIF($H$1:H32,$A$1:$A$96),0)),"")</f>
        <v/>
      </c>
    </row>
    <row r="34" spans="1:8">
      <c r="A34">
        <f>INDEX('2)GRID'!$A$1:$M$17,HIDDEN!E34,HIDDEN!G34)</f>
        <v>0</v>
      </c>
      <c r="B34" t="str">
        <f>INDEX('2)GRID'!$A$1:$M$17,HIDDEN!E34,HIDDEN!G34)&amp;";"&amp;INDEX('2)GRID'!$A$1:$M$17,F34,G34)</f>
        <v>;</v>
      </c>
      <c r="C34" t="str">
        <f t="shared" si="8"/>
        <v>B5</v>
      </c>
      <c r="D34">
        <v>33</v>
      </c>
      <c r="E34">
        <f t="shared" si="1"/>
        <v>4</v>
      </c>
      <c r="F34">
        <f t="shared" si="2"/>
        <v>5</v>
      </c>
      <c r="G34">
        <f t="shared" si="3"/>
        <v>6</v>
      </c>
      <c r="H34" t="str">
        <f t="array" ref="H34">IFERROR(INDEX($A$1:$A$96,MATCH(0,COUNTIF($H$1:H33,$A$1:$A$96),0)),"")</f>
        <v/>
      </c>
    </row>
    <row r="35" spans="1:8">
      <c r="A35">
        <f>INDEX('2)GRID'!$A$1:$M$17,HIDDEN!E35,HIDDEN!G35)</f>
        <v>0</v>
      </c>
      <c r="B35" t="str">
        <f>INDEX('2)GRID'!$A$1:$M$17,HIDDEN!E35,HIDDEN!G35)&amp;";"&amp;INDEX('2)GRID'!$A$1:$M$17,F35,G35)</f>
        <v>;</v>
      </c>
      <c r="C35" t="str">
        <f t="shared" si="8"/>
        <v>C5</v>
      </c>
      <c r="D35">
        <v>34</v>
      </c>
      <c r="E35">
        <f t="shared" si="1"/>
        <v>6</v>
      </c>
      <c r="F35">
        <f t="shared" si="2"/>
        <v>7</v>
      </c>
      <c r="G35">
        <f t="shared" si="3"/>
        <v>6</v>
      </c>
      <c r="H35" t="str">
        <f t="array" ref="H35">IFERROR(INDEX($A$1:$A$96,MATCH(0,COUNTIF($H$1:H34,$A$1:$A$96),0)),"")</f>
        <v/>
      </c>
    </row>
    <row r="36" spans="1:8">
      <c r="A36">
        <f>INDEX('2)GRID'!$A$1:$M$17,HIDDEN!E36,HIDDEN!G36)</f>
        <v>0</v>
      </c>
      <c r="B36" t="str">
        <f>INDEX('2)GRID'!$A$1:$M$17,HIDDEN!E36,HIDDEN!G36)&amp;";"&amp;INDEX('2)GRID'!$A$1:$M$17,F36,G36)</f>
        <v>;</v>
      </c>
      <c r="C36" t="str">
        <f t="shared" si="8"/>
        <v>D5</v>
      </c>
      <c r="D36">
        <v>35</v>
      </c>
      <c r="E36">
        <f t="shared" si="1"/>
        <v>8</v>
      </c>
      <c r="F36">
        <f t="shared" si="2"/>
        <v>9</v>
      </c>
      <c r="G36">
        <f t="shared" si="3"/>
        <v>6</v>
      </c>
      <c r="H36" t="str">
        <f t="array" ref="H36">IFERROR(INDEX($A$1:$A$96,MATCH(0,COUNTIF($H$1:H35,$A$1:$A$96),0)),"")</f>
        <v/>
      </c>
    </row>
    <row r="37" spans="1:8">
      <c r="A37">
        <f>INDEX('2)GRID'!$A$1:$M$17,HIDDEN!E37,HIDDEN!G37)</f>
        <v>0</v>
      </c>
      <c r="B37" t="str">
        <f>INDEX('2)GRID'!$A$1:$M$17,HIDDEN!E37,HIDDEN!G37)&amp;";"&amp;INDEX('2)GRID'!$A$1:$M$17,F37,G37)</f>
        <v>;</v>
      </c>
      <c r="C37" t="str">
        <f t="shared" si="8"/>
        <v>E5</v>
      </c>
      <c r="D37">
        <v>36</v>
      </c>
      <c r="E37">
        <f t="shared" si="1"/>
        <v>10</v>
      </c>
      <c r="F37">
        <f t="shared" si="2"/>
        <v>11</v>
      </c>
      <c r="G37">
        <f t="shared" si="3"/>
        <v>6</v>
      </c>
      <c r="H37" t="str">
        <f t="array" ref="H37">IFERROR(INDEX($A$1:$A$96,MATCH(0,COUNTIF($H$1:H36,$A$1:$A$96),0)),"")</f>
        <v/>
      </c>
    </row>
    <row r="38" spans="1:8">
      <c r="A38" t="str">
        <f>INDEX('2)GRID'!$A$1:$M$17,HIDDEN!E38,HIDDEN!G38)</f>
        <v/>
      </c>
      <c r="B38" t="str">
        <f>INDEX('2)GRID'!$A$1:$M$17,HIDDEN!E38,HIDDEN!G38)&amp;";"&amp;INDEX('2)GRID'!$A$1:$M$17,F38,G38)</f>
        <v>;</v>
      </c>
      <c r="C38" t="str">
        <f t="shared" si="8"/>
        <v>F5</v>
      </c>
      <c r="D38">
        <v>37</v>
      </c>
      <c r="E38">
        <f t="shared" si="1"/>
        <v>12</v>
      </c>
      <c r="F38">
        <f t="shared" si="2"/>
        <v>13</v>
      </c>
      <c r="G38">
        <f t="shared" si="3"/>
        <v>6</v>
      </c>
      <c r="H38" t="str">
        <f t="array" ref="H38">IFERROR(INDEX($A$1:$A$96,MATCH(0,COUNTIF($H$1:H37,$A$1:$A$96),0)),"")</f>
        <v/>
      </c>
    </row>
    <row r="39" spans="1:8">
      <c r="A39" t="str">
        <f>INDEX('2)GRID'!$A$1:$M$17,HIDDEN!E39,HIDDEN!G39)</f>
        <v/>
      </c>
      <c r="B39" t="str">
        <f>INDEX('2)GRID'!$A$1:$M$17,HIDDEN!E39,HIDDEN!G39)&amp;";"&amp;INDEX('2)GRID'!$A$1:$M$17,F39,G39)</f>
        <v>;</v>
      </c>
      <c r="C39" t="str">
        <f t="shared" si="8"/>
        <v>G5</v>
      </c>
      <c r="D39">
        <v>38</v>
      </c>
      <c r="E39">
        <f t="shared" si="1"/>
        <v>14</v>
      </c>
      <c r="F39">
        <f t="shared" si="2"/>
        <v>15</v>
      </c>
      <c r="G39">
        <f t="shared" si="3"/>
        <v>6</v>
      </c>
      <c r="H39" t="str">
        <f t="array" ref="H39">IFERROR(INDEX($A$1:$A$96,MATCH(0,COUNTIF($H$1:H38,$A$1:$A$96),0)),"")</f>
        <v/>
      </c>
    </row>
    <row r="40" spans="1:8">
      <c r="A40" t="str">
        <f>INDEX('2)GRID'!$A$1:$M$17,HIDDEN!E40,HIDDEN!G40)</f>
        <v/>
      </c>
      <c r="B40" t="str">
        <f>INDEX('2)GRID'!$A$1:$M$17,HIDDEN!E40,HIDDEN!G40)&amp;";"&amp;INDEX('2)GRID'!$A$1:$M$17,F40,G40)</f>
        <v>;</v>
      </c>
      <c r="C40" t="str">
        <f t="shared" si="8"/>
        <v>H5</v>
      </c>
      <c r="D40">
        <v>39</v>
      </c>
      <c r="E40">
        <f t="shared" si="1"/>
        <v>16</v>
      </c>
      <c r="F40">
        <f t="shared" si="2"/>
        <v>17</v>
      </c>
      <c r="G40">
        <f t="shared" si="3"/>
        <v>6</v>
      </c>
      <c r="H40" t="str">
        <f t="array" ref="H40">IFERROR(INDEX($A$1:$A$96,MATCH(0,COUNTIF($H$1:H39,$A$1:$A$96),0)),"")</f>
        <v/>
      </c>
    </row>
    <row r="41" spans="1:8">
      <c r="A41" t="str">
        <f>INDEX('2)GRID'!$A$1:$M$17,HIDDEN!E41,HIDDEN!G41)</f>
        <v/>
      </c>
      <c r="B41" t="str">
        <f>INDEX('2)GRID'!$A$1:$M$17,HIDDEN!E41,HIDDEN!G41)&amp;";"&amp;INDEX('2)GRID'!$A$1:$M$17,F41,G41)</f>
        <v>;</v>
      </c>
      <c r="C41" t="str">
        <f t="shared" ref="C41:C48" si="9">O2</f>
        <v>A6</v>
      </c>
      <c r="D41">
        <v>40</v>
      </c>
      <c r="E41">
        <f t="shared" si="1"/>
        <v>2</v>
      </c>
      <c r="F41">
        <f t="shared" si="2"/>
        <v>3</v>
      </c>
      <c r="G41">
        <f t="shared" si="3"/>
        <v>7</v>
      </c>
      <c r="H41" t="str">
        <f t="array" ref="H41">IFERROR(INDEX($A$1:$A$96,MATCH(0,COUNTIF($H$1:H40,$A$1:$A$96),0)),"")</f>
        <v/>
      </c>
    </row>
    <row r="42" spans="1:8">
      <c r="A42" t="str">
        <f>INDEX('2)GRID'!$A$1:$M$17,HIDDEN!E42,HIDDEN!G42)</f>
        <v/>
      </c>
      <c r="B42" t="str">
        <f>INDEX('2)GRID'!$A$1:$M$17,HIDDEN!E42,HIDDEN!G42)&amp;";"&amp;INDEX('2)GRID'!$A$1:$M$17,F42,G42)</f>
        <v>;</v>
      </c>
      <c r="C42" t="str">
        <f t="shared" si="9"/>
        <v>B6</v>
      </c>
      <c r="D42">
        <v>41</v>
      </c>
      <c r="E42">
        <f t="shared" si="1"/>
        <v>4</v>
      </c>
      <c r="F42">
        <f t="shared" si="2"/>
        <v>5</v>
      </c>
      <c r="G42">
        <f t="shared" si="3"/>
        <v>7</v>
      </c>
      <c r="H42" t="str">
        <f t="array" ref="H42">IFERROR(INDEX($A$1:$A$96,MATCH(0,COUNTIF($H$1:H41,$A$1:$A$96),0)),"")</f>
        <v/>
      </c>
    </row>
    <row r="43" spans="1:8">
      <c r="A43" t="str">
        <f>INDEX('2)GRID'!$A$1:$M$17,HIDDEN!E43,HIDDEN!G43)</f>
        <v/>
      </c>
      <c r="B43" t="str">
        <f>INDEX('2)GRID'!$A$1:$M$17,HIDDEN!E43,HIDDEN!G43)&amp;";"&amp;INDEX('2)GRID'!$A$1:$M$17,F43,G43)</f>
        <v>;</v>
      </c>
      <c r="C43" t="str">
        <f t="shared" si="9"/>
        <v>C6</v>
      </c>
      <c r="D43">
        <v>42</v>
      </c>
      <c r="E43">
        <f t="shared" si="1"/>
        <v>6</v>
      </c>
      <c r="F43">
        <f t="shared" si="2"/>
        <v>7</v>
      </c>
      <c r="G43">
        <f t="shared" si="3"/>
        <v>7</v>
      </c>
      <c r="H43" t="str">
        <f t="array" ref="H43">IFERROR(INDEX($A$1:$A$96,MATCH(0,COUNTIF($H$1:H42,$A$1:$A$96),0)),"")</f>
        <v/>
      </c>
    </row>
    <row r="44" spans="1:8">
      <c r="A44" t="str">
        <f>INDEX('2)GRID'!$A$1:$M$17,HIDDEN!E44,HIDDEN!G44)</f>
        <v/>
      </c>
      <c r="B44" t="str">
        <f>INDEX('2)GRID'!$A$1:$M$17,HIDDEN!E44,HIDDEN!G44)&amp;";"&amp;INDEX('2)GRID'!$A$1:$M$17,F44,G44)</f>
        <v>;</v>
      </c>
      <c r="C44" t="str">
        <f t="shared" si="9"/>
        <v>D6</v>
      </c>
      <c r="D44">
        <v>43</v>
      </c>
      <c r="E44">
        <f t="shared" si="1"/>
        <v>8</v>
      </c>
      <c r="F44">
        <f t="shared" si="2"/>
        <v>9</v>
      </c>
      <c r="G44">
        <f t="shared" si="3"/>
        <v>7</v>
      </c>
      <c r="H44" t="str">
        <f t="array" ref="H44">IFERROR(INDEX($A$1:$A$96,MATCH(0,COUNTIF($H$1:H43,$A$1:$A$96),0)),"")</f>
        <v/>
      </c>
    </row>
    <row r="45" spans="1:8">
      <c r="A45" t="str">
        <f>INDEX('2)GRID'!$A$1:$M$17,HIDDEN!E45,HIDDEN!G45)</f>
        <v/>
      </c>
      <c r="B45" t="str">
        <f>INDEX('2)GRID'!$A$1:$M$17,HIDDEN!E45,HIDDEN!G45)&amp;";"&amp;INDEX('2)GRID'!$A$1:$M$17,F45,G45)</f>
        <v>;</v>
      </c>
      <c r="C45" t="str">
        <f t="shared" si="9"/>
        <v>E6</v>
      </c>
      <c r="D45">
        <v>44</v>
      </c>
      <c r="E45">
        <f t="shared" si="1"/>
        <v>10</v>
      </c>
      <c r="F45">
        <f t="shared" si="2"/>
        <v>11</v>
      </c>
      <c r="G45">
        <f t="shared" si="3"/>
        <v>7</v>
      </c>
      <c r="H45" t="str">
        <f t="array" ref="H45">IFERROR(INDEX($A$1:$A$96,MATCH(0,COUNTIF($H$1:H44,$A$1:$A$96),0)),"")</f>
        <v/>
      </c>
    </row>
    <row r="46" spans="1:8">
      <c r="A46" t="str">
        <f>INDEX('2)GRID'!$A$1:$M$17,HIDDEN!E46,HIDDEN!G46)</f>
        <v/>
      </c>
      <c r="B46" t="str">
        <f>INDEX('2)GRID'!$A$1:$M$17,HIDDEN!E46,HIDDEN!G46)&amp;";"&amp;INDEX('2)GRID'!$A$1:$M$17,F46,G46)</f>
        <v>;</v>
      </c>
      <c r="C46" t="str">
        <f t="shared" si="9"/>
        <v>F6</v>
      </c>
      <c r="D46">
        <v>45</v>
      </c>
      <c r="E46">
        <f t="shared" si="1"/>
        <v>12</v>
      </c>
      <c r="F46">
        <f t="shared" si="2"/>
        <v>13</v>
      </c>
      <c r="G46">
        <f t="shared" si="3"/>
        <v>7</v>
      </c>
      <c r="H46" t="str">
        <f t="array" ref="H46">IFERROR(INDEX($A$1:$A$96,MATCH(0,COUNTIF($H$1:H45,$A$1:$A$96),0)),"")</f>
        <v/>
      </c>
    </row>
    <row r="47" spans="1:8">
      <c r="A47" t="str">
        <f>INDEX('2)GRID'!$A$1:$M$17,HIDDEN!E47,HIDDEN!G47)</f>
        <v/>
      </c>
      <c r="B47" t="str">
        <f>INDEX('2)GRID'!$A$1:$M$17,HIDDEN!E47,HIDDEN!G47)&amp;";"&amp;INDEX('2)GRID'!$A$1:$M$17,F47,G47)</f>
        <v>;</v>
      </c>
      <c r="C47" t="str">
        <f t="shared" si="9"/>
        <v>G6</v>
      </c>
      <c r="D47">
        <v>46</v>
      </c>
      <c r="E47">
        <f t="shared" si="1"/>
        <v>14</v>
      </c>
      <c r="F47">
        <f t="shared" si="2"/>
        <v>15</v>
      </c>
      <c r="G47">
        <f t="shared" si="3"/>
        <v>7</v>
      </c>
      <c r="H47" t="str">
        <f t="array" ref="H47">IFERROR(INDEX($A$1:$A$96,MATCH(0,COUNTIF($H$1:H46,$A$1:$A$96),0)),"")</f>
        <v/>
      </c>
    </row>
    <row r="48" spans="1:8">
      <c r="A48" t="str">
        <f>INDEX('2)GRID'!$A$1:$M$17,HIDDEN!E48,HIDDEN!G48)</f>
        <v/>
      </c>
      <c r="B48" t="str">
        <f>INDEX('2)GRID'!$A$1:$M$17,HIDDEN!E48,HIDDEN!G48)&amp;";"&amp;INDEX('2)GRID'!$A$1:$M$17,F48,G48)</f>
        <v>;</v>
      </c>
      <c r="C48" t="str">
        <f t="shared" si="9"/>
        <v>H6</v>
      </c>
      <c r="D48">
        <v>47</v>
      </c>
      <c r="E48">
        <f t="shared" si="1"/>
        <v>16</v>
      </c>
      <c r="F48">
        <f t="shared" si="2"/>
        <v>17</v>
      </c>
      <c r="G48">
        <f t="shared" si="3"/>
        <v>7</v>
      </c>
      <c r="H48" t="str">
        <f t="array" ref="H48">IFERROR(INDEX($A$1:$A$96,MATCH(0,COUNTIF($H$1:H47,$A$1:$A$96),0)),"")</f>
        <v/>
      </c>
    </row>
    <row r="49" spans="1:8">
      <c r="A49" t="str">
        <f>INDEX('2)GRID'!$A$1:$M$17,HIDDEN!E49,HIDDEN!G49)</f>
        <v/>
      </c>
      <c r="B49" t="str">
        <f>INDEX('2)GRID'!$A$1:$M$17,HIDDEN!E49,HIDDEN!G49)&amp;";"&amp;INDEX('2)GRID'!$A$1:$M$17,F49,G49)</f>
        <v>;</v>
      </c>
      <c r="C49" t="str">
        <f t="shared" ref="C49:C56" si="10">P2</f>
        <v>A7</v>
      </c>
      <c r="D49">
        <v>48</v>
      </c>
      <c r="E49">
        <f t="shared" si="1"/>
        <v>2</v>
      </c>
      <c r="F49">
        <f t="shared" si="2"/>
        <v>3</v>
      </c>
      <c r="G49">
        <f t="shared" si="3"/>
        <v>8</v>
      </c>
      <c r="H49" t="str">
        <f t="array" ref="H49">IFERROR(INDEX($A$1:$A$96,MATCH(0,COUNTIF($H$1:H48,$A$1:$A$96),0)),"")</f>
        <v/>
      </c>
    </row>
    <row r="50" spans="1:8">
      <c r="A50" t="str">
        <f>INDEX('2)GRID'!$A$1:$M$17,HIDDEN!E50,HIDDEN!G50)</f>
        <v/>
      </c>
      <c r="B50" t="str">
        <f>INDEX('2)GRID'!$A$1:$M$17,HIDDEN!E50,HIDDEN!G50)&amp;";"&amp;INDEX('2)GRID'!$A$1:$M$17,F50,G50)</f>
        <v>;</v>
      </c>
      <c r="C50" t="str">
        <f t="shared" si="10"/>
        <v>B7</v>
      </c>
      <c r="D50">
        <v>49</v>
      </c>
      <c r="E50">
        <f t="shared" si="1"/>
        <v>4</v>
      </c>
      <c r="F50">
        <f t="shared" si="2"/>
        <v>5</v>
      </c>
      <c r="G50">
        <f t="shared" si="3"/>
        <v>8</v>
      </c>
      <c r="H50" t="str">
        <f t="array" ref="H50">IFERROR(INDEX($A$1:$A$96,MATCH(0,COUNTIF($H$1:H49,$A$1:$A$96),0)),"")</f>
        <v/>
      </c>
    </row>
    <row r="51" spans="1:8">
      <c r="A51" t="str">
        <f>INDEX('2)GRID'!$A$1:$M$17,HIDDEN!E51,HIDDEN!G51)</f>
        <v/>
      </c>
      <c r="B51" t="str">
        <f>INDEX('2)GRID'!$A$1:$M$17,HIDDEN!E51,HIDDEN!G51)&amp;";"&amp;INDEX('2)GRID'!$A$1:$M$17,F51,G51)</f>
        <v>;</v>
      </c>
      <c r="C51" t="str">
        <f t="shared" si="10"/>
        <v>C7</v>
      </c>
      <c r="D51">
        <v>50</v>
      </c>
      <c r="E51">
        <f t="shared" si="1"/>
        <v>6</v>
      </c>
      <c r="F51">
        <f t="shared" si="2"/>
        <v>7</v>
      </c>
      <c r="G51">
        <f t="shared" si="3"/>
        <v>8</v>
      </c>
      <c r="H51" t="str">
        <f t="array" ref="H51">IFERROR(INDEX($A$1:$A$96,MATCH(0,COUNTIF($H$1:H50,$A$1:$A$96),0)),"")</f>
        <v/>
      </c>
    </row>
    <row r="52" spans="1:8">
      <c r="A52" t="str">
        <f>INDEX('2)GRID'!$A$1:$M$17,HIDDEN!E52,HIDDEN!G52)</f>
        <v/>
      </c>
      <c r="B52" t="str">
        <f>INDEX('2)GRID'!$A$1:$M$17,HIDDEN!E52,HIDDEN!G52)&amp;";"&amp;INDEX('2)GRID'!$A$1:$M$17,F52,G52)</f>
        <v>;</v>
      </c>
      <c r="C52" t="str">
        <f t="shared" si="10"/>
        <v>D7</v>
      </c>
      <c r="D52">
        <v>51</v>
      </c>
      <c r="E52">
        <f t="shared" si="1"/>
        <v>8</v>
      </c>
      <c r="F52">
        <f t="shared" si="2"/>
        <v>9</v>
      </c>
      <c r="G52">
        <f t="shared" si="3"/>
        <v>8</v>
      </c>
      <c r="H52" t="str">
        <f t="array" ref="H52">IFERROR(INDEX($A$1:$A$96,MATCH(0,COUNTIF($H$1:H51,$A$1:$A$96),0)),"")</f>
        <v/>
      </c>
    </row>
    <row r="53" spans="1:8">
      <c r="A53" t="str">
        <f>INDEX('2)GRID'!$A$1:$M$17,HIDDEN!E53,HIDDEN!G53)</f>
        <v/>
      </c>
      <c r="B53" t="str">
        <f>INDEX('2)GRID'!$A$1:$M$17,HIDDEN!E53,HIDDEN!G53)&amp;";"&amp;INDEX('2)GRID'!$A$1:$M$17,F53,G53)</f>
        <v>;</v>
      </c>
      <c r="C53" t="str">
        <f t="shared" si="10"/>
        <v>E7</v>
      </c>
      <c r="D53">
        <v>52</v>
      </c>
      <c r="E53">
        <f t="shared" si="1"/>
        <v>10</v>
      </c>
      <c r="F53">
        <f t="shared" si="2"/>
        <v>11</v>
      </c>
      <c r="G53">
        <f t="shared" si="3"/>
        <v>8</v>
      </c>
      <c r="H53" t="str">
        <f t="array" ref="H53">IFERROR(INDEX($A$1:$A$96,MATCH(0,COUNTIF($H$1:H52,$A$1:$A$96),0)),"")</f>
        <v/>
      </c>
    </row>
    <row r="54" spans="1:8">
      <c r="A54" t="str">
        <f>INDEX('2)GRID'!$A$1:$M$17,HIDDEN!E54,HIDDEN!G54)</f>
        <v/>
      </c>
      <c r="B54" t="str">
        <f>INDEX('2)GRID'!$A$1:$M$17,HIDDEN!E54,HIDDEN!G54)&amp;";"&amp;INDEX('2)GRID'!$A$1:$M$17,F54,G54)</f>
        <v>;</v>
      </c>
      <c r="C54" t="str">
        <f t="shared" si="10"/>
        <v>F7</v>
      </c>
      <c r="D54">
        <v>53</v>
      </c>
      <c r="E54">
        <f t="shared" si="1"/>
        <v>12</v>
      </c>
      <c r="F54">
        <f t="shared" si="2"/>
        <v>13</v>
      </c>
      <c r="G54">
        <f t="shared" si="3"/>
        <v>8</v>
      </c>
      <c r="H54" t="str">
        <f t="array" ref="H54">IFERROR(INDEX($A$1:$A$96,MATCH(0,COUNTIF($H$1:H53,$A$1:$A$96),0)),"")</f>
        <v/>
      </c>
    </row>
    <row r="55" spans="1:8">
      <c r="A55" t="str">
        <f>INDEX('2)GRID'!$A$1:$M$17,HIDDEN!E55,HIDDEN!G55)</f>
        <v/>
      </c>
      <c r="B55" t="str">
        <f>INDEX('2)GRID'!$A$1:$M$17,HIDDEN!E55,HIDDEN!G55)&amp;";"&amp;INDEX('2)GRID'!$A$1:$M$17,F55,G55)</f>
        <v>;</v>
      </c>
      <c r="C55" t="str">
        <f t="shared" si="10"/>
        <v>G7</v>
      </c>
      <c r="D55">
        <v>54</v>
      </c>
      <c r="E55">
        <f t="shared" si="1"/>
        <v>14</v>
      </c>
      <c r="F55">
        <f t="shared" si="2"/>
        <v>15</v>
      </c>
      <c r="G55">
        <f t="shared" si="3"/>
        <v>8</v>
      </c>
      <c r="H55" t="str">
        <f t="array" ref="H55">IFERROR(INDEX($A$1:$A$96,MATCH(0,COUNTIF($H$1:H54,$A$1:$A$96),0)),"")</f>
        <v/>
      </c>
    </row>
    <row r="56" spans="1:8">
      <c r="A56" t="str">
        <f>INDEX('2)GRID'!$A$1:$M$17,HIDDEN!E56,HIDDEN!G56)</f>
        <v/>
      </c>
      <c r="B56" t="str">
        <f>INDEX('2)GRID'!$A$1:$M$17,HIDDEN!E56,HIDDEN!G56)&amp;";"&amp;INDEX('2)GRID'!$A$1:$M$17,F56,G56)</f>
        <v>;</v>
      </c>
      <c r="C56" t="str">
        <f t="shared" si="10"/>
        <v>H7</v>
      </c>
      <c r="D56">
        <v>55</v>
      </c>
      <c r="E56">
        <f t="shared" si="1"/>
        <v>16</v>
      </c>
      <c r="F56">
        <f t="shared" si="2"/>
        <v>17</v>
      </c>
      <c r="G56">
        <f t="shared" si="3"/>
        <v>8</v>
      </c>
      <c r="H56" t="str">
        <f t="array" ref="H56">IFERROR(INDEX($A$1:$A$96,MATCH(0,COUNTIF($H$1:H55,$A$1:$A$96),0)),"")</f>
        <v/>
      </c>
    </row>
    <row r="57" spans="1:8">
      <c r="A57" t="str">
        <f>INDEX('2)GRID'!$A$1:$M$17,HIDDEN!E57,HIDDEN!G57)</f>
        <v/>
      </c>
      <c r="B57" t="str">
        <f>INDEX('2)GRID'!$A$1:$M$17,HIDDEN!E57,HIDDEN!G57)&amp;";"&amp;INDEX('2)GRID'!$A$1:$M$17,F57,G57)</f>
        <v>;</v>
      </c>
      <c r="C57" t="str">
        <f t="shared" ref="C57:C64" si="11">Q2</f>
        <v>A8</v>
      </c>
      <c r="D57">
        <v>56</v>
      </c>
      <c r="E57">
        <f t="shared" si="1"/>
        <v>2</v>
      </c>
      <c r="F57">
        <f t="shared" si="2"/>
        <v>3</v>
      </c>
      <c r="G57">
        <f t="shared" si="3"/>
        <v>9</v>
      </c>
      <c r="H57" t="str">
        <f t="array" ref="H57">IFERROR(INDEX($A$1:$A$96,MATCH(0,COUNTIF($H$1:H56,$A$1:$A$96),0)),"")</f>
        <v/>
      </c>
    </row>
    <row r="58" spans="1:8">
      <c r="A58" t="str">
        <f>INDEX('2)GRID'!$A$1:$M$17,HIDDEN!E58,HIDDEN!G58)</f>
        <v/>
      </c>
      <c r="B58" t="str">
        <f>INDEX('2)GRID'!$A$1:$M$17,HIDDEN!E58,HIDDEN!G58)&amp;";"&amp;INDEX('2)GRID'!$A$1:$M$17,F58,G58)</f>
        <v>;</v>
      </c>
      <c r="C58" t="str">
        <f t="shared" si="11"/>
        <v>B8</v>
      </c>
      <c r="D58">
        <v>57</v>
      </c>
      <c r="E58">
        <f t="shared" si="1"/>
        <v>4</v>
      </c>
      <c r="F58">
        <f t="shared" si="2"/>
        <v>5</v>
      </c>
      <c r="G58">
        <f t="shared" si="3"/>
        <v>9</v>
      </c>
      <c r="H58" t="str">
        <f t="array" ref="H58">IFERROR(INDEX($A$1:$A$96,MATCH(0,COUNTIF($H$1:H57,$A$1:$A$96),0)),"")</f>
        <v/>
      </c>
    </row>
    <row r="59" spans="1:8">
      <c r="A59" t="str">
        <f>INDEX('2)GRID'!$A$1:$M$17,HIDDEN!E59,HIDDEN!G59)</f>
        <v/>
      </c>
      <c r="B59" t="str">
        <f>INDEX('2)GRID'!$A$1:$M$17,HIDDEN!E59,HIDDEN!G59)&amp;";"&amp;INDEX('2)GRID'!$A$1:$M$17,F59,G59)</f>
        <v>;</v>
      </c>
      <c r="C59" t="str">
        <f t="shared" si="11"/>
        <v>C8</v>
      </c>
      <c r="D59">
        <v>58</v>
      </c>
      <c r="E59">
        <f t="shared" si="1"/>
        <v>6</v>
      </c>
      <c r="F59">
        <f t="shared" si="2"/>
        <v>7</v>
      </c>
      <c r="G59">
        <f t="shared" si="3"/>
        <v>9</v>
      </c>
      <c r="H59" t="str">
        <f t="array" ref="H59">IFERROR(INDEX($A$1:$A$96,MATCH(0,COUNTIF($H$1:H58,$A$1:$A$96),0)),"")</f>
        <v/>
      </c>
    </row>
    <row r="60" spans="1:8">
      <c r="A60" t="str">
        <f>INDEX('2)GRID'!$A$1:$M$17,HIDDEN!E60,HIDDEN!G60)</f>
        <v/>
      </c>
      <c r="B60" t="str">
        <f>INDEX('2)GRID'!$A$1:$M$17,HIDDEN!E60,HIDDEN!G60)&amp;";"&amp;INDEX('2)GRID'!$A$1:$M$17,F60,G60)</f>
        <v>;</v>
      </c>
      <c r="C60" t="str">
        <f t="shared" si="11"/>
        <v>D8</v>
      </c>
      <c r="D60">
        <v>59</v>
      </c>
      <c r="E60">
        <f t="shared" si="1"/>
        <v>8</v>
      </c>
      <c r="F60">
        <f t="shared" si="2"/>
        <v>9</v>
      </c>
      <c r="G60">
        <f t="shared" si="3"/>
        <v>9</v>
      </c>
      <c r="H60" t="str">
        <f t="array" ref="H60">IFERROR(INDEX($A$1:$A$96,MATCH(0,COUNTIF($H$1:H59,$A$1:$A$96),0)),"")</f>
        <v/>
      </c>
    </row>
    <row r="61" spans="1:8">
      <c r="A61" t="str">
        <f>INDEX('2)GRID'!$A$1:$M$17,HIDDEN!E61,HIDDEN!G61)</f>
        <v/>
      </c>
      <c r="B61" t="str">
        <f>INDEX('2)GRID'!$A$1:$M$17,HIDDEN!E61,HIDDEN!G61)&amp;";"&amp;INDEX('2)GRID'!$A$1:$M$17,F61,G61)</f>
        <v>;</v>
      </c>
      <c r="C61" t="str">
        <f t="shared" si="11"/>
        <v>E8</v>
      </c>
      <c r="D61">
        <v>60</v>
      </c>
      <c r="E61">
        <f t="shared" si="1"/>
        <v>10</v>
      </c>
      <c r="F61">
        <f t="shared" si="2"/>
        <v>11</v>
      </c>
      <c r="G61">
        <f t="shared" si="3"/>
        <v>9</v>
      </c>
      <c r="H61" t="str">
        <f t="array" ref="H61">IFERROR(INDEX($A$1:$A$96,MATCH(0,COUNTIF($H$1:H60,$A$1:$A$96),0)),"")</f>
        <v/>
      </c>
    </row>
    <row r="62" spans="1:8">
      <c r="A62" t="str">
        <f>INDEX('2)GRID'!$A$1:$M$17,HIDDEN!E62,HIDDEN!G62)</f>
        <v/>
      </c>
      <c r="B62" t="str">
        <f>INDEX('2)GRID'!$A$1:$M$17,HIDDEN!E62,HIDDEN!G62)&amp;";"&amp;INDEX('2)GRID'!$A$1:$M$17,F62,G62)</f>
        <v>;</v>
      </c>
      <c r="C62" t="str">
        <f t="shared" si="11"/>
        <v>F8</v>
      </c>
      <c r="D62">
        <v>61</v>
      </c>
      <c r="E62">
        <f t="shared" si="1"/>
        <v>12</v>
      </c>
      <c r="F62">
        <f t="shared" si="2"/>
        <v>13</v>
      </c>
      <c r="G62">
        <f t="shared" si="3"/>
        <v>9</v>
      </c>
      <c r="H62" t="str">
        <f t="array" ref="H62">IFERROR(INDEX($A$1:$A$96,MATCH(0,COUNTIF($H$1:H61,$A$1:$A$96),0)),"")</f>
        <v/>
      </c>
    </row>
    <row r="63" spans="1:8">
      <c r="A63" t="str">
        <f>INDEX('2)GRID'!$A$1:$M$17,HIDDEN!E63,HIDDEN!G63)</f>
        <v/>
      </c>
      <c r="B63" t="str">
        <f>INDEX('2)GRID'!$A$1:$M$17,HIDDEN!E63,HIDDEN!G63)&amp;";"&amp;INDEX('2)GRID'!$A$1:$M$17,F63,G63)</f>
        <v>;</v>
      </c>
      <c r="C63" t="str">
        <f t="shared" si="11"/>
        <v>G8</v>
      </c>
      <c r="D63">
        <v>62</v>
      </c>
      <c r="E63">
        <f t="shared" si="1"/>
        <v>14</v>
      </c>
      <c r="F63">
        <f t="shared" si="2"/>
        <v>15</v>
      </c>
      <c r="G63">
        <f t="shared" si="3"/>
        <v>9</v>
      </c>
      <c r="H63" t="str">
        <f t="array" ref="H63">IFERROR(INDEX($A$1:$A$96,MATCH(0,COUNTIF($H$1:H62,$A$1:$A$96),0)),"")</f>
        <v/>
      </c>
    </row>
    <row r="64" spans="1:8">
      <c r="A64" t="str">
        <f>INDEX('2)GRID'!$A$1:$M$17,HIDDEN!E64,HIDDEN!G64)</f>
        <v/>
      </c>
      <c r="B64" t="str">
        <f>INDEX('2)GRID'!$A$1:$M$17,HIDDEN!E64,HIDDEN!G64)&amp;";"&amp;INDEX('2)GRID'!$A$1:$M$17,F64,G64)</f>
        <v>;</v>
      </c>
      <c r="C64" t="str">
        <f t="shared" si="11"/>
        <v>H8</v>
      </c>
      <c r="D64">
        <v>63</v>
      </c>
      <c r="E64">
        <f t="shared" si="1"/>
        <v>16</v>
      </c>
      <c r="F64">
        <f t="shared" si="2"/>
        <v>17</v>
      </c>
      <c r="G64">
        <f t="shared" si="3"/>
        <v>9</v>
      </c>
      <c r="H64" t="str">
        <f t="array" ref="H64">IFERROR(INDEX($A$1:$A$96,MATCH(0,COUNTIF($H$1:H63,$A$1:$A$96),0)),"")</f>
        <v/>
      </c>
    </row>
    <row r="65" spans="1:8">
      <c r="A65" t="str">
        <f>INDEX('2)GRID'!$A$1:$M$17,HIDDEN!E65,HIDDEN!G65)</f>
        <v/>
      </c>
      <c r="B65" t="str">
        <f>INDEX('2)GRID'!$A$1:$M$17,HIDDEN!E65,HIDDEN!G65)&amp;";"&amp;INDEX('2)GRID'!$A$1:$M$17,F65,G65)</f>
        <v>;</v>
      </c>
      <c r="C65" t="str">
        <f t="shared" ref="C65:C72" si="12">R2</f>
        <v>A9</v>
      </c>
      <c r="D65">
        <v>64</v>
      </c>
      <c r="E65">
        <f t="shared" si="1"/>
        <v>2</v>
      </c>
      <c r="F65">
        <f t="shared" si="2"/>
        <v>3</v>
      </c>
      <c r="G65">
        <f t="shared" si="3"/>
        <v>10</v>
      </c>
      <c r="H65" t="str">
        <f t="array" ref="H65">IFERROR(INDEX($A$1:$A$96,MATCH(0,COUNTIF($H$1:H64,$A$1:$A$96),0)),"")</f>
        <v/>
      </c>
    </row>
    <row r="66" spans="1:8">
      <c r="A66" t="str">
        <f>INDEX('2)GRID'!$A$1:$M$17,HIDDEN!E66,HIDDEN!G66)</f>
        <v/>
      </c>
      <c r="B66" t="str">
        <f>INDEX('2)GRID'!$A$1:$M$17,HIDDEN!E66,HIDDEN!G66)&amp;";"&amp;INDEX('2)GRID'!$A$1:$M$17,F66,G66)</f>
        <v>;</v>
      </c>
      <c r="C66" t="str">
        <f t="shared" si="12"/>
        <v>B9</v>
      </c>
      <c r="D66">
        <v>65</v>
      </c>
      <c r="E66">
        <f t="shared" ref="E66:E96" si="13">MOD(D66*2,16)+2</f>
        <v>4</v>
      </c>
      <c r="F66">
        <f t="shared" ref="F66:F96" si="14">E66+1</f>
        <v>5</v>
      </c>
      <c r="G66">
        <f t="shared" ref="G66:G96" si="15">_xlfn.CEILING.MATH((D66+1)/8)+1</f>
        <v>10</v>
      </c>
      <c r="H66" t="str">
        <f t="array" ref="H66">IFERROR(INDEX($A$1:$A$96,MATCH(0,COUNTIF($H$1:H65,$A$1:$A$96),0)),"")</f>
        <v/>
      </c>
    </row>
    <row r="67" spans="1:8">
      <c r="A67" t="str">
        <f>INDEX('2)GRID'!$A$1:$M$17,HIDDEN!E67,HIDDEN!G67)</f>
        <v/>
      </c>
      <c r="B67" t="str">
        <f>INDEX('2)GRID'!$A$1:$M$17,HIDDEN!E67,HIDDEN!G67)&amp;";"&amp;INDEX('2)GRID'!$A$1:$M$17,F67,G67)</f>
        <v>;</v>
      </c>
      <c r="C67" t="str">
        <f t="shared" si="12"/>
        <v>C9</v>
      </c>
      <c r="D67">
        <v>66</v>
      </c>
      <c r="E67">
        <f t="shared" si="13"/>
        <v>6</v>
      </c>
      <c r="F67">
        <f t="shared" si="14"/>
        <v>7</v>
      </c>
      <c r="G67">
        <f t="shared" si="15"/>
        <v>10</v>
      </c>
      <c r="H67" t="str">
        <f t="array" ref="H67">IFERROR(INDEX($A$1:$A$96,MATCH(0,COUNTIF($H$1:H66,$A$1:$A$96),0)),"")</f>
        <v/>
      </c>
    </row>
    <row r="68" spans="1:8">
      <c r="A68" t="str">
        <f>INDEX('2)GRID'!$A$1:$M$17,HIDDEN!E68,HIDDEN!G68)</f>
        <v/>
      </c>
      <c r="B68" t="str">
        <f>INDEX('2)GRID'!$A$1:$M$17,HIDDEN!E68,HIDDEN!G68)&amp;";"&amp;INDEX('2)GRID'!$A$1:$M$17,F68,G68)</f>
        <v>;</v>
      </c>
      <c r="C68" t="str">
        <f t="shared" si="12"/>
        <v>D9</v>
      </c>
      <c r="D68">
        <v>67</v>
      </c>
      <c r="E68">
        <f t="shared" si="13"/>
        <v>8</v>
      </c>
      <c r="F68">
        <f t="shared" si="14"/>
        <v>9</v>
      </c>
      <c r="G68">
        <f t="shared" si="15"/>
        <v>10</v>
      </c>
      <c r="H68" t="str">
        <f t="array" ref="H68">IFERROR(INDEX($A$1:$A$96,MATCH(0,COUNTIF($H$1:H67,$A$1:$A$96),0)),"")</f>
        <v/>
      </c>
    </row>
    <row r="69" spans="1:8">
      <c r="A69" t="str">
        <f>INDEX('2)GRID'!$A$1:$M$17,HIDDEN!E69,HIDDEN!G69)</f>
        <v/>
      </c>
      <c r="B69" t="str">
        <f>INDEX('2)GRID'!$A$1:$M$17,HIDDEN!E69,HIDDEN!G69)&amp;";"&amp;INDEX('2)GRID'!$A$1:$M$17,F69,G69)</f>
        <v>;</v>
      </c>
      <c r="C69" t="str">
        <f t="shared" si="12"/>
        <v>E9</v>
      </c>
      <c r="D69">
        <v>68</v>
      </c>
      <c r="E69">
        <f t="shared" si="13"/>
        <v>10</v>
      </c>
      <c r="F69">
        <f t="shared" si="14"/>
        <v>11</v>
      </c>
      <c r="G69">
        <f t="shared" si="15"/>
        <v>10</v>
      </c>
      <c r="H69" t="str">
        <f t="array" ref="H69">IFERROR(INDEX($A$1:$A$96,MATCH(0,COUNTIF($H$1:H68,$A$1:$A$96),0)),"")</f>
        <v/>
      </c>
    </row>
    <row r="70" spans="1:8">
      <c r="A70" t="str">
        <f>INDEX('2)GRID'!$A$1:$M$17,HIDDEN!E70,HIDDEN!G70)</f>
        <v/>
      </c>
      <c r="B70" t="str">
        <f>INDEX('2)GRID'!$A$1:$M$17,HIDDEN!E70,HIDDEN!G70)&amp;";"&amp;INDEX('2)GRID'!$A$1:$M$17,F70,G70)</f>
        <v>;</v>
      </c>
      <c r="C70" t="str">
        <f t="shared" si="12"/>
        <v>F9</v>
      </c>
      <c r="D70">
        <v>69</v>
      </c>
      <c r="E70">
        <f t="shared" si="13"/>
        <v>12</v>
      </c>
      <c r="F70">
        <f t="shared" si="14"/>
        <v>13</v>
      </c>
      <c r="G70">
        <f t="shared" si="15"/>
        <v>10</v>
      </c>
      <c r="H70" t="str">
        <f t="array" ref="H70">IFERROR(INDEX($A$1:$A$96,MATCH(0,COUNTIF($H$1:H69,$A$1:$A$96),0)),"")</f>
        <v/>
      </c>
    </row>
    <row r="71" spans="1:8">
      <c r="A71" t="str">
        <f>INDEX('2)GRID'!$A$1:$M$17,HIDDEN!E71,HIDDEN!G71)</f>
        <v/>
      </c>
      <c r="B71" t="str">
        <f>INDEX('2)GRID'!$A$1:$M$17,HIDDEN!E71,HIDDEN!G71)&amp;";"&amp;INDEX('2)GRID'!$A$1:$M$17,F71,G71)</f>
        <v>;</v>
      </c>
      <c r="C71" t="str">
        <f t="shared" si="12"/>
        <v>G9</v>
      </c>
      <c r="D71">
        <v>70</v>
      </c>
      <c r="E71">
        <f t="shared" si="13"/>
        <v>14</v>
      </c>
      <c r="F71">
        <f t="shared" si="14"/>
        <v>15</v>
      </c>
      <c r="G71">
        <f t="shared" si="15"/>
        <v>10</v>
      </c>
      <c r="H71" t="str">
        <f t="array" ref="H71">IFERROR(INDEX($A$1:$A$96,MATCH(0,COUNTIF($H$1:H70,$A$1:$A$96),0)),"")</f>
        <v/>
      </c>
    </row>
    <row r="72" spans="1:8">
      <c r="A72" t="str">
        <f>INDEX('2)GRID'!$A$1:$M$17,HIDDEN!E72,HIDDEN!G72)</f>
        <v/>
      </c>
      <c r="B72" t="str">
        <f>INDEX('2)GRID'!$A$1:$M$17,HIDDEN!E72,HIDDEN!G72)&amp;";"&amp;INDEX('2)GRID'!$A$1:$M$17,F72,G72)</f>
        <v>;</v>
      </c>
      <c r="C72" t="str">
        <f t="shared" si="12"/>
        <v>H9</v>
      </c>
      <c r="D72">
        <v>71</v>
      </c>
      <c r="E72">
        <f t="shared" si="13"/>
        <v>16</v>
      </c>
      <c r="F72">
        <f t="shared" si="14"/>
        <v>17</v>
      </c>
      <c r="G72">
        <f t="shared" si="15"/>
        <v>10</v>
      </c>
      <c r="H72" t="str">
        <f t="array" ref="H72">IFERROR(INDEX($A$1:$A$96,MATCH(0,COUNTIF($H$1:H71,$A$1:$A$96),0)),"")</f>
        <v/>
      </c>
    </row>
    <row r="73" spans="1:8">
      <c r="A73" t="str">
        <f>INDEX('2)GRID'!$A$1:$M$17,HIDDEN!E73,HIDDEN!G73)</f>
        <v/>
      </c>
      <c r="B73" t="str">
        <f>INDEX('2)GRID'!$A$1:$M$17,HIDDEN!E73,HIDDEN!G73)&amp;";"&amp;INDEX('2)GRID'!$A$1:$M$17,F73,G73)</f>
        <v>;</v>
      </c>
      <c r="C73" t="str">
        <f t="shared" ref="C73:C80" si="16">S2</f>
        <v>A10</v>
      </c>
      <c r="D73">
        <v>72</v>
      </c>
      <c r="E73">
        <f t="shared" si="13"/>
        <v>2</v>
      </c>
      <c r="F73">
        <f t="shared" si="14"/>
        <v>3</v>
      </c>
      <c r="G73">
        <f t="shared" si="15"/>
        <v>11</v>
      </c>
      <c r="H73" t="str">
        <f t="array" ref="H73">IFERROR(INDEX($A$1:$A$96,MATCH(0,COUNTIF($H$1:H72,$A$1:$A$96),0)),"")</f>
        <v/>
      </c>
    </row>
    <row r="74" spans="1:8">
      <c r="A74" t="str">
        <f>INDEX('2)GRID'!$A$1:$M$17,HIDDEN!E74,HIDDEN!G74)</f>
        <v/>
      </c>
      <c r="B74" t="str">
        <f>INDEX('2)GRID'!$A$1:$M$17,HIDDEN!E74,HIDDEN!G74)&amp;";"&amp;INDEX('2)GRID'!$A$1:$M$17,F74,G74)</f>
        <v>;</v>
      </c>
      <c r="C74" t="str">
        <f t="shared" si="16"/>
        <v>B10</v>
      </c>
      <c r="D74">
        <v>73</v>
      </c>
      <c r="E74">
        <f t="shared" si="13"/>
        <v>4</v>
      </c>
      <c r="F74">
        <f t="shared" si="14"/>
        <v>5</v>
      </c>
      <c r="G74">
        <f t="shared" si="15"/>
        <v>11</v>
      </c>
      <c r="H74" t="str">
        <f t="array" ref="H74">IFERROR(INDEX($A$1:$A$96,MATCH(0,COUNTIF($H$1:H73,$A$1:$A$96),0)),"")</f>
        <v/>
      </c>
    </row>
    <row r="75" spans="1:8">
      <c r="A75" t="str">
        <f>INDEX('2)GRID'!$A$1:$M$17,HIDDEN!E75,HIDDEN!G75)</f>
        <v/>
      </c>
      <c r="B75" t="str">
        <f>INDEX('2)GRID'!$A$1:$M$17,HIDDEN!E75,HIDDEN!G75)&amp;";"&amp;INDEX('2)GRID'!$A$1:$M$17,F75,G75)</f>
        <v>;</v>
      </c>
      <c r="C75" t="str">
        <f t="shared" si="16"/>
        <v>C10</v>
      </c>
      <c r="D75">
        <v>74</v>
      </c>
      <c r="E75">
        <f t="shared" si="13"/>
        <v>6</v>
      </c>
      <c r="F75">
        <f t="shared" si="14"/>
        <v>7</v>
      </c>
      <c r="G75">
        <f t="shared" si="15"/>
        <v>11</v>
      </c>
      <c r="H75" t="str">
        <f t="array" ref="H75">IFERROR(INDEX($A$1:$A$96,MATCH(0,COUNTIF($H$1:H74,$A$1:$A$96),0)),"")</f>
        <v/>
      </c>
    </row>
    <row r="76" spans="1:8">
      <c r="A76" t="str">
        <f>INDEX('2)GRID'!$A$1:$M$17,HIDDEN!E76,HIDDEN!G76)</f>
        <v/>
      </c>
      <c r="B76" t="str">
        <f>INDEX('2)GRID'!$A$1:$M$17,HIDDEN!E76,HIDDEN!G76)&amp;";"&amp;INDEX('2)GRID'!$A$1:$M$17,F76,G76)</f>
        <v>;</v>
      </c>
      <c r="C76" t="str">
        <f t="shared" si="16"/>
        <v>D10</v>
      </c>
      <c r="D76">
        <v>75</v>
      </c>
      <c r="E76">
        <f t="shared" si="13"/>
        <v>8</v>
      </c>
      <c r="F76">
        <f t="shared" si="14"/>
        <v>9</v>
      </c>
      <c r="G76">
        <f t="shared" si="15"/>
        <v>11</v>
      </c>
      <c r="H76" t="str">
        <f t="array" ref="H76">IFERROR(INDEX($A$1:$A$96,MATCH(0,COUNTIF($H$1:H75,$A$1:$A$96),0)),"")</f>
        <v/>
      </c>
    </row>
    <row r="77" spans="1:8">
      <c r="A77" t="str">
        <f>INDEX('2)GRID'!$A$1:$M$17,HIDDEN!E77,HIDDEN!G77)</f>
        <v/>
      </c>
      <c r="B77" t="str">
        <f>INDEX('2)GRID'!$A$1:$M$17,HIDDEN!E77,HIDDEN!G77)&amp;";"&amp;INDEX('2)GRID'!$A$1:$M$17,F77,G77)</f>
        <v>;</v>
      </c>
      <c r="C77" t="str">
        <f t="shared" si="16"/>
        <v>E10</v>
      </c>
      <c r="D77">
        <v>76</v>
      </c>
      <c r="E77">
        <f t="shared" si="13"/>
        <v>10</v>
      </c>
      <c r="F77">
        <f t="shared" si="14"/>
        <v>11</v>
      </c>
      <c r="G77">
        <f t="shared" si="15"/>
        <v>11</v>
      </c>
      <c r="H77" t="str">
        <f t="array" ref="H77">IFERROR(INDEX($A$1:$A$96,MATCH(0,COUNTIF($H$1:H76,$A$1:$A$96),0)),"")</f>
        <v/>
      </c>
    </row>
    <row r="78" spans="1:8">
      <c r="A78" t="str">
        <f>INDEX('2)GRID'!$A$1:$M$17,HIDDEN!E78,HIDDEN!G78)</f>
        <v/>
      </c>
      <c r="B78" t="str">
        <f>INDEX('2)GRID'!$A$1:$M$17,HIDDEN!E78,HIDDEN!G78)&amp;";"&amp;INDEX('2)GRID'!$A$1:$M$17,F78,G78)</f>
        <v>;</v>
      </c>
      <c r="C78" t="str">
        <f t="shared" si="16"/>
        <v>F10</v>
      </c>
      <c r="D78">
        <v>77</v>
      </c>
      <c r="E78">
        <f t="shared" si="13"/>
        <v>12</v>
      </c>
      <c r="F78">
        <f t="shared" si="14"/>
        <v>13</v>
      </c>
      <c r="G78">
        <f t="shared" si="15"/>
        <v>11</v>
      </c>
      <c r="H78" t="str">
        <f t="array" ref="H78">IFERROR(INDEX($A$1:$A$96,MATCH(0,COUNTIF($H$1:H77,$A$1:$A$96),0)),"")</f>
        <v/>
      </c>
    </row>
    <row r="79" spans="1:8">
      <c r="A79" t="str">
        <f>INDEX('2)GRID'!$A$1:$M$17,HIDDEN!E79,HIDDEN!G79)</f>
        <v/>
      </c>
      <c r="B79" t="str">
        <f>INDEX('2)GRID'!$A$1:$M$17,HIDDEN!E79,HIDDEN!G79)&amp;";"&amp;INDEX('2)GRID'!$A$1:$M$17,F79,G79)</f>
        <v>;</v>
      </c>
      <c r="C79" t="str">
        <f t="shared" si="16"/>
        <v>G10</v>
      </c>
      <c r="D79">
        <v>78</v>
      </c>
      <c r="E79">
        <f t="shared" si="13"/>
        <v>14</v>
      </c>
      <c r="F79">
        <f t="shared" si="14"/>
        <v>15</v>
      </c>
      <c r="G79">
        <f t="shared" si="15"/>
        <v>11</v>
      </c>
      <c r="H79" t="str">
        <f t="array" ref="H79">IFERROR(INDEX($A$1:$A$96,MATCH(0,COUNTIF($H$1:H78,$A$1:$A$96),0)),"")</f>
        <v/>
      </c>
    </row>
    <row r="80" spans="1:8">
      <c r="A80" t="str">
        <f>INDEX('2)GRID'!$A$1:$M$17,HIDDEN!E80,HIDDEN!G80)</f>
        <v/>
      </c>
      <c r="B80" t="str">
        <f>INDEX('2)GRID'!$A$1:$M$17,HIDDEN!E80,HIDDEN!G80)&amp;";"&amp;INDEX('2)GRID'!$A$1:$M$17,F80,G80)</f>
        <v>;</v>
      </c>
      <c r="C80" t="str">
        <f t="shared" si="16"/>
        <v>H10</v>
      </c>
      <c r="D80">
        <v>79</v>
      </c>
      <c r="E80">
        <f t="shared" si="13"/>
        <v>16</v>
      </c>
      <c r="F80">
        <f t="shared" si="14"/>
        <v>17</v>
      </c>
      <c r="G80">
        <f t="shared" si="15"/>
        <v>11</v>
      </c>
      <c r="H80" t="str">
        <f t="array" ref="H80">IFERROR(INDEX($A$1:$A$96,MATCH(0,COUNTIF($H$1:H79,$A$1:$A$96),0)),"")</f>
        <v/>
      </c>
    </row>
    <row r="81" spans="1:8">
      <c r="A81" t="str">
        <f>INDEX('2)GRID'!$A$1:$M$17,HIDDEN!E81,HIDDEN!G81)</f>
        <v/>
      </c>
      <c r="B81" t="str">
        <f>INDEX('2)GRID'!$A$1:$M$17,HIDDEN!E81,HIDDEN!G81)&amp;";"&amp;INDEX('2)GRID'!$A$1:$M$17,F81,G81)</f>
        <v>;</v>
      </c>
      <c r="C81" t="str">
        <f t="shared" ref="C81:C88" si="17">T2</f>
        <v>A11</v>
      </c>
      <c r="D81">
        <v>80</v>
      </c>
      <c r="E81">
        <f t="shared" si="13"/>
        <v>2</v>
      </c>
      <c r="F81">
        <f t="shared" si="14"/>
        <v>3</v>
      </c>
      <c r="G81">
        <f t="shared" si="15"/>
        <v>12</v>
      </c>
      <c r="H81" t="str">
        <f t="array" ref="H81">IFERROR(INDEX($A$1:$A$96,MATCH(0,COUNTIF($H$1:H80,$A$1:$A$96),0)),"")</f>
        <v/>
      </c>
    </row>
    <row r="82" spans="1:8">
      <c r="A82" t="str">
        <f>INDEX('2)GRID'!$A$1:$M$17,HIDDEN!E82,HIDDEN!G82)</f>
        <v/>
      </c>
      <c r="B82" t="str">
        <f>INDEX('2)GRID'!$A$1:$M$17,HIDDEN!E82,HIDDEN!G82)&amp;";"&amp;INDEX('2)GRID'!$A$1:$M$17,F82,G82)</f>
        <v>;</v>
      </c>
      <c r="C82" t="str">
        <f t="shared" si="17"/>
        <v>B11</v>
      </c>
      <c r="D82">
        <v>81</v>
      </c>
      <c r="E82">
        <f t="shared" si="13"/>
        <v>4</v>
      </c>
      <c r="F82">
        <f t="shared" si="14"/>
        <v>5</v>
      </c>
      <c r="G82">
        <f t="shared" si="15"/>
        <v>12</v>
      </c>
      <c r="H82" t="str">
        <f t="array" ref="H82">IFERROR(INDEX($A$1:$A$96,MATCH(0,COUNTIF($H$1:H81,$A$1:$A$96),0)),"")</f>
        <v/>
      </c>
    </row>
    <row r="83" spans="1:8">
      <c r="A83" t="str">
        <f>INDEX('2)GRID'!$A$1:$M$17,HIDDEN!E83,HIDDEN!G83)</f>
        <v/>
      </c>
      <c r="B83" t="str">
        <f>INDEX('2)GRID'!$A$1:$M$17,HIDDEN!E83,HIDDEN!G83)&amp;";"&amp;INDEX('2)GRID'!$A$1:$M$17,F83,G83)</f>
        <v>;</v>
      </c>
      <c r="C83" t="str">
        <f t="shared" si="17"/>
        <v>C11</v>
      </c>
      <c r="D83">
        <v>82</v>
      </c>
      <c r="E83">
        <f t="shared" si="13"/>
        <v>6</v>
      </c>
      <c r="F83">
        <f t="shared" si="14"/>
        <v>7</v>
      </c>
      <c r="G83">
        <f t="shared" si="15"/>
        <v>12</v>
      </c>
      <c r="H83" t="str">
        <f t="array" ref="H83">IFERROR(INDEX($A$1:$A$96,MATCH(0,COUNTIF($H$1:H82,$A$1:$A$96),0)),"")</f>
        <v/>
      </c>
    </row>
    <row r="84" spans="1:8">
      <c r="A84" t="str">
        <f>INDEX('2)GRID'!$A$1:$M$17,HIDDEN!E84,HIDDEN!G84)</f>
        <v/>
      </c>
      <c r="B84" t="str">
        <f>INDEX('2)GRID'!$A$1:$M$17,HIDDEN!E84,HIDDEN!G84)&amp;";"&amp;INDEX('2)GRID'!$A$1:$M$17,F84,G84)</f>
        <v>;</v>
      </c>
      <c r="C84" t="str">
        <f t="shared" si="17"/>
        <v>D11</v>
      </c>
      <c r="D84">
        <v>83</v>
      </c>
      <c r="E84">
        <f t="shared" si="13"/>
        <v>8</v>
      </c>
      <c r="F84">
        <f t="shared" si="14"/>
        <v>9</v>
      </c>
      <c r="G84">
        <f t="shared" si="15"/>
        <v>12</v>
      </c>
      <c r="H84" t="str">
        <f t="array" ref="H84">IFERROR(INDEX($A$1:$A$96,MATCH(0,COUNTIF($H$1:H83,$A$1:$A$96),0)),"")</f>
        <v/>
      </c>
    </row>
    <row r="85" spans="1:8">
      <c r="A85" t="str">
        <f>INDEX('2)GRID'!$A$1:$M$17,HIDDEN!E85,HIDDEN!G85)</f>
        <v/>
      </c>
      <c r="B85" t="str">
        <f>INDEX('2)GRID'!$A$1:$M$17,HIDDEN!E85,HIDDEN!G85)&amp;";"&amp;INDEX('2)GRID'!$A$1:$M$17,F85,G85)</f>
        <v>;</v>
      </c>
      <c r="C85" t="str">
        <f t="shared" si="17"/>
        <v>E11</v>
      </c>
      <c r="D85">
        <v>84</v>
      </c>
      <c r="E85">
        <f t="shared" si="13"/>
        <v>10</v>
      </c>
      <c r="F85">
        <f t="shared" si="14"/>
        <v>11</v>
      </c>
      <c r="G85">
        <f t="shared" si="15"/>
        <v>12</v>
      </c>
      <c r="H85" t="str">
        <f t="array" ref="H85">IFERROR(INDEX($A$1:$A$96,MATCH(0,COUNTIF($H$1:H84,$A$1:$A$96),0)),"")</f>
        <v/>
      </c>
    </row>
    <row r="86" spans="1:8">
      <c r="A86" t="str">
        <f>INDEX('2)GRID'!$A$1:$M$17,HIDDEN!E86,HIDDEN!G86)</f>
        <v/>
      </c>
      <c r="B86" t="str">
        <f>INDEX('2)GRID'!$A$1:$M$17,HIDDEN!E86,HIDDEN!G86)&amp;";"&amp;INDEX('2)GRID'!$A$1:$M$17,F86,G86)</f>
        <v>;</v>
      </c>
      <c r="C86" t="str">
        <f t="shared" si="17"/>
        <v>F11</v>
      </c>
      <c r="D86">
        <v>85</v>
      </c>
      <c r="E86">
        <f t="shared" si="13"/>
        <v>12</v>
      </c>
      <c r="F86">
        <f t="shared" si="14"/>
        <v>13</v>
      </c>
      <c r="G86">
        <f t="shared" si="15"/>
        <v>12</v>
      </c>
      <c r="H86" t="str">
        <f t="array" ref="H86">IFERROR(INDEX($A$1:$A$96,MATCH(0,COUNTIF($H$1:H85,$A$1:$A$96),0)),"")</f>
        <v/>
      </c>
    </row>
    <row r="87" spans="1:8">
      <c r="A87" t="str">
        <f>INDEX('2)GRID'!$A$1:$M$17,HIDDEN!E87,HIDDEN!G87)</f>
        <v/>
      </c>
      <c r="B87" t="str">
        <f>INDEX('2)GRID'!$A$1:$M$17,HIDDEN!E87,HIDDEN!G87)&amp;";"&amp;INDEX('2)GRID'!$A$1:$M$17,F87,G87)</f>
        <v>;</v>
      </c>
      <c r="C87" t="str">
        <f t="shared" si="17"/>
        <v>G11</v>
      </c>
      <c r="D87">
        <v>86</v>
      </c>
      <c r="E87">
        <f t="shared" si="13"/>
        <v>14</v>
      </c>
      <c r="F87">
        <f t="shared" si="14"/>
        <v>15</v>
      </c>
      <c r="G87">
        <f t="shared" si="15"/>
        <v>12</v>
      </c>
      <c r="H87" t="str">
        <f t="array" ref="H87">IFERROR(INDEX($A$1:$A$96,MATCH(0,COUNTIF($H$1:H86,$A$1:$A$96),0)),"")</f>
        <v/>
      </c>
    </row>
    <row r="88" spans="1:8">
      <c r="A88" t="str">
        <f>INDEX('2)GRID'!$A$1:$M$17,HIDDEN!E88,HIDDEN!G88)</f>
        <v/>
      </c>
      <c r="B88" t="str">
        <f>INDEX('2)GRID'!$A$1:$M$17,HIDDEN!E88,HIDDEN!G88)&amp;";"&amp;INDEX('2)GRID'!$A$1:$M$17,F88,G88)</f>
        <v>;</v>
      </c>
      <c r="C88" t="str">
        <f t="shared" si="17"/>
        <v>H11</v>
      </c>
      <c r="D88">
        <v>87</v>
      </c>
      <c r="E88">
        <f t="shared" si="13"/>
        <v>16</v>
      </c>
      <c r="F88">
        <f t="shared" si="14"/>
        <v>17</v>
      </c>
      <c r="G88">
        <f t="shared" si="15"/>
        <v>12</v>
      </c>
      <c r="H88" t="str">
        <f t="array" ref="H88">IFERROR(INDEX($A$1:$A$96,MATCH(0,COUNTIF($H$1:H87,$A$1:$A$96),0)),"")</f>
        <v/>
      </c>
    </row>
    <row r="89" spans="1:8">
      <c r="A89" t="str">
        <f>INDEX('2)GRID'!$A$1:$M$17,HIDDEN!E89,HIDDEN!G89)</f>
        <v/>
      </c>
      <c r="B89" t="str">
        <f>INDEX('2)GRID'!$A$1:$M$17,HIDDEN!E89,HIDDEN!G89)&amp;";"&amp;INDEX('2)GRID'!$A$1:$M$17,F89,G89)</f>
        <v>;</v>
      </c>
      <c r="C89" t="str">
        <f>U2</f>
        <v>A12</v>
      </c>
      <c r="D89">
        <v>88</v>
      </c>
      <c r="E89">
        <f t="shared" si="13"/>
        <v>2</v>
      </c>
      <c r="F89">
        <f t="shared" si="14"/>
        <v>3</v>
      </c>
      <c r="G89">
        <f t="shared" si="15"/>
        <v>13</v>
      </c>
      <c r="H89" t="str">
        <f t="array" ref="H89">IFERROR(INDEX($A$1:$A$96,MATCH(0,COUNTIF($H$1:H88,$A$1:$A$96),0)),"")</f>
        <v/>
      </c>
    </row>
    <row r="90" spans="1:8">
      <c r="A90" t="str">
        <f>INDEX('2)GRID'!$A$1:$M$17,HIDDEN!E90,HIDDEN!G90)</f>
        <v/>
      </c>
      <c r="B90" t="str">
        <f>INDEX('2)GRID'!$A$1:$M$17,HIDDEN!E90,HIDDEN!G90)&amp;";"&amp;INDEX('2)GRID'!$A$1:$M$17,F90,G90)</f>
        <v>;</v>
      </c>
      <c r="C90" t="str">
        <f t="shared" ref="C90:C96" si="18">U3</f>
        <v>B12</v>
      </c>
      <c r="D90">
        <v>89</v>
      </c>
      <c r="E90">
        <f t="shared" si="13"/>
        <v>4</v>
      </c>
      <c r="F90">
        <f t="shared" si="14"/>
        <v>5</v>
      </c>
      <c r="G90">
        <f t="shared" si="15"/>
        <v>13</v>
      </c>
      <c r="H90" t="str">
        <f t="array" ref="H90">IFERROR(INDEX($A$1:$A$96,MATCH(0,COUNTIF($H$1:H89,$A$1:$A$96),0)),"")</f>
        <v/>
      </c>
    </row>
    <row r="91" spans="1:8">
      <c r="A91" t="str">
        <f>INDEX('2)GRID'!$A$1:$M$17,HIDDEN!E91,HIDDEN!G91)</f>
        <v/>
      </c>
      <c r="B91" t="str">
        <f>INDEX('2)GRID'!$A$1:$M$17,HIDDEN!E91,HIDDEN!G91)&amp;";"&amp;INDEX('2)GRID'!$A$1:$M$17,F91,G91)</f>
        <v>;</v>
      </c>
      <c r="C91" t="str">
        <f t="shared" si="18"/>
        <v>C12</v>
      </c>
      <c r="D91">
        <v>90</v>
      </c>
      <c r="E91">
        <f t="shared" si="13"/>
        <v>6</v>
      </c>
      <c r="F91">
        <f t="shared" si="14"/>
        <v>7</v>
      </c>
      <c r="G91">
        <f t="shared" si="15"/>
        <v>13</v>
      </c>
      <c r="H91" t="str">
        <f t="array" ref="H91">IFERROR(INDEX($A$1:$A$96,MATCH(0,COUNTIF($H$1:H90,$A$1:$A$96),0)),"")</f>
        <v/>
      </c>
    </row>
    <row r="92" spans="1:8">
      <c r="A92" t="str">
        <f>INDEX('2)GRID'!$A$1:$M$17,HIDDEN!E92,HIDDEN!G92)</f>
        <v/>
      </c>
      <c r="B92" t="str">
        <f>INDEX('2)GRID'!$A$1:$M$17,HIDDEN!E92,HIDDEN!G92)&amp;";"&amp;INDEX('2)GRID'!$A$1:$M$17,F92,G92)</f>
        <v>;</v>
      </c>
      <c r="C92" t="str">
        <f t="shared" si="18"/>
        <v>D12</v>
      </c>
      <c r="D92">
        <v>91</v>
      </c>
      <c r="E92">
        <f t="shared" si="13"/>
        <v>8</v>
      </c>
      <c r="F92">
        <f t="shared" si="14"/>
        <v>9</v>
      </c>
      <c r="G92">
        <f t="shared" si="15"/>
        <v>13</v>
      </c>
      <c r="H92" t="str">
        <f t="array" ref="H92">IFERROR(INDEX($A$1:$A$96,MATCH(0,COUNTIF($H$1:H91,$A$1:$A$96),0)),"")</f>
        <v/>
      </c>
    </row>
    <row r="93" spans="1:8">
      <c r="A93" t="str">
        <f>INDEX('2)GRID'!$A$1:$M$17,HIDDEN!E93,HIDDEN!G93)</f>
        <v/>
      </c>
      <c r="B93" t="str">
        <f>INDEX('2)GRID'!$A$1:$M$17,HIDDEN!E93,HIDDEN!G93)&amp;";"&amp;INDEX('2)GRID'!$A$1:$M$17,F93,G93)</f>
        <v>;</v>
      </c>
      <c r="C93" t="str">
        <f t="shared" si="18"/>
        <v>E12</v>
      </c>
      <c r="D93">
        <v>92</v>
      </c>
      <c r="E93">
        <f t="shared" si="13"/>
        <v>10</v>
      </c>
      <c r="F93">
        <f t="shared" si="14"/>
        <v>11</v>
      </c>
      <c r="G93">
        <f t="shared" si="15"/>
        <v>13</v>
      </c>
      <c r="H93" t="str">
        <f t="array" ref="H93">IFERROR(INDEX($A$1:$A$96,MATCH(0,COUNTIF($H$1:H92,$A$1:$A$96),0)),"")</f>
        <v/>
      </c>
    </row>
    <row r="94" spans="1:8">
      <c r="A94" t="str">
        <f>INDEX('2)GRID'!$A$1:$M$17,HIDDEN!E94,HIDDEN!G94)</f>
        <v/>
      </c>
      <c r="B94" t="str">
        <f>INDEX('2)GRID'!$A$1:$M$17,HIDDEN!E94,HIDDEN!G94)&amp;";"&amp;INDEX('2)GRID'!$A$1:$M$17,F94,G94)</f>
        <v>;</v>
      </c>
      <c r="C94" t="str">
        <f t="shared" si="18"/>
        <v>F12</v>
      </c>
      <c r="D94">
        <v>93</v>
      </c>
      <c r="E94">
        <f t="shared" si="13"/>
        <v>12</v>
      </c>
      <c r="F94">
        <f t="shared" si="14"/>
        <v>13</v>
      </c>
      <c r="G94">
        <f t="shared" si="15"/>
        <v>13</v>
      </c>
      <c r="H94" t="str">
        <f t="array" ref="H94">IFERROR(INDEX($A$1:$A$96,MATCH(0,COUNTIF($H$1:H93,$A$1:$A$96),0)),"")</f>
        <v/>
      </c>
    </row>
    <row r="95" spans="1:8">
      <c r="A95" t="str">
        <f>INDEX('2)GRID'!$A$1:$M$17,HIDDEN!E95,HIDDEN!G95)</f>
        <v/>
      </c>
      <c r="B95" t="str">
        <f>INDEX('2)GRID'!$A$1:$M$17,HIDDEN!E95,HIDDEN!G95)&amp;";"&amp;INDEX('2)GRID'!$A$1:$M$17,F95,G95)</f>
        <v>;</v>
      </c>
      <c r="C95" t="str">
        <f t="shared" si="18"/>
        <v>G12</v>
      </c>
      <c r="D95">
        <v>94</v>
      </c>
      <c r="E95">
        <f t="shared" si="13"/>
        <v>14</v>
      </c>
      <c r="F95">
        <f t="shared" si="14"/>
        <v>15</v>
      </c>
      <c r="G95">
        <f t="shared" si="15"/>
        <v>13</v>
      </c>
      <c r="H95" t="str">
        <f t="array" ref="H95">IFERROR(INDEX($A$1:$A$96,MATCH(0,COUNTIF($H$1:H94,$A$1:$A$96),0)),"")</f>
        <v/>
      </c>
    </row>
    <row r="96" spans="1:8">
      <c r="A96" t="str">
        <f>INDEX('2)GRID'!$A$1:$M$17,HIDDEN!E96,HIDDEN!G96)</f>
        <v/>
      </c>
      <c r="B96" t="str">
        <f>INDEX('2)GRID'!$A$1:$M$17,HIDDEN!E96,HIDDEN!G96)&amp;";"&amp;INDEX('2)GRID'!$A$1:$M$17,F96,G96)</f>
        <v>;</v>
      </c>
      <c r="C96" t="str">
        <f t="shared" si="18"/>
        <v>H12</v>
      </c>
      <c r="D96">
        <v>95</v>
      </c>
      <c r="E96">
        <f t="shared" si="13"/>
        <v>16</v>
      </c>
      <c r="F96">
        <f t="shared" si="14"/>
        <v>17</v>
      </c>
      <c r="G96">
        <f t="shared" si="15"/>
        <v>13</v>
      </c>
      <c r="H96" t="str">
        <f t="array" ref="H96">IFERROR(INDEX($A$1:$A$96,MATCH(0,COUNTIF($H$1:H95,$A$1:$A$96),0)),"")</f>
        <v/>
      </c>
    </row>
  </sheetData>
  <sheetProtection algorithmName="SHA-512" hashValue="/SmS5A+N0WSL2AwvIpI5TA9vsO4aVoSFmuJMhudO6vT12C5eWnPovwMAYxX3blQs7X1HaAP5beDLje3qwt/B4w==" saltValue="d0GNv0Bmoaq75VaOkmkWDw==" spinCount="100000" sheet="1" objects="1" scenarios="1" selectLockedCells="1" selectUnlockedCell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outlinePr summaryBelow="0" summaryRight="0"/>
  </sheetPr>
  <dimension ref="A1"/>
  <sheetViews>
    <sheetView workbookViewId="0"/>
  </sheetViews>
  <sheetFormatPr defaultColWidth="14.44140625" defaultRowHeight="15.75" customHeight="1"/>
  <sheetData>
    <row r="1" spans="1:1" ht="15.75" customHeight="1">
      <c r="A1"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ummaryRight="0"/>
  </sheetPr>
  <dimension ref="A1:A10"/>
  <sheetViews>
    <sheetView workbookViewId="0"/>
  </sheetViews>
  <sheetFormatPr defaultColWidth="14.44140625" defaultRowHeight="15.75" customHeight="1"/>
  <sheetData>
    <row r="1" spans="1:1" ht="15.75" customHeight="1">
      <c r="A1" s="7" t="e">
        <f>ModelSheet=SAMPLES!A:AM</f>
        <v>#NAME?</v>
      </c>
    </row>
    <row r="2" spans="1:1" ht="15.75" customHeight="1">
      <c r="A2" s="7" t="e">
        <f>OpenSolver_AdjNum=0</f>
        <v>#NAME?</v>
      </c>
    </row>
    <row r="3" spans="1:1" ht="15.75" customHeight="1">
      <c r="A3" s="7" t="e">
        <f>OpenSolver_ChosenSolver=GLPK</f>
        <v>#NAME?</v>
      </c>
    </row>
    <row r="4" spans="1:1" ht="15.75" customHeight="1">
      <c r="A4" s="7" t="e">
        <f>OpenSolver_FastBuild=0</f>
        <v>#NAME?</v>
      </c>
    </row>
    <row r="5" spans="1:1" ht="15.75" customHeight="1">
      <c r="A5" s="7" t="e">
        <f>OpenSolver_LinearityCheck=0</f>
        <v>#NAME?</v>
      </c>
    </row>
    <row r="6" spans="1:1" ht="15.75" customHeight="1">
      <c r="A6" s="7" t="e">
        <f>solver_neg=1</f>
        <v>#NAME?</v>
      </c>
    </row>
    <row r="7" spans="1:1" ht="15.75" customHeight="1">
      <c r="A7" s="7" t="e">
        <f>solver_num=0</f>
        <v>#NAME?</v>
      </c>
    </row>
    <row r="8" spans="1:1" ht="15.75" customHeight="1">
      <c r="A8" s="7" t="e">
        <f>solver_sho=1</f>
        <v>#NAME?</v>
      </c>
    </row>
    <row r="9" spans="1:1" ht="15.75" customHeight="1">
      <c r="A9" s="7" t="e">
        <f>solver_typ=2</f>
        <v>#NAME?</v>
      </c>
    </row>
    <row r="10" spans="1:1" ht="15.75" customHeight="1">
      <c r="A10" s="7" t="e">
        <f>solver_val=0</f>
        <v>#NAME?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PASOS</vt:lpstr>
      <vt:lpstr>1)qPCR</vt:lpstr>
      <vt:lpstr>2)GRID</vt:lpstr>
      <vt:lpstr>3)PACIENTES</vt:lpstr>
      <vt:lpstr>GRAPHS</vt:lpstr>
      <vt:lpstr>TEXTS</vt:lpstr>
      <vt:lpstr>SAMPLES</vt:lpstr>
      <vt:lpstr>RANGES</vt:lpstr>
      <vt:lpstr>SELECTOR</vt:lpstr>
      <vt:lpstr>HIDDEN</vt:lpstr>
      <vt:lpstr>__OpenSolverCache__</vt:lpstr>
      <vt:lpstr>__OpenSolver__</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Guillermo</dc:creator>
  <cp:lastModifiedBy>Guillermo Rodriguez Piccoli</cp:lastModifiedBy>
  <dcterms:created xsi:type="dcterms:W3CDTF">2020-04-15T08:33:14Z</dcterms:created>
  <dcterms:modified xsi:type="dcterms:W3CDTF">2020-10-16T09:54:07Z</dcterms:modified>
</cp:coreProperties>
</file>